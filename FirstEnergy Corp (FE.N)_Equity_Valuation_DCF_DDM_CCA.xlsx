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imoh\Downloads\"/>
    </mc:Choice>
  </mc:AlternateContent>
  <xr:revisionPtr revIDLastSave="0" documentId="8_{6E74CF7E-D249-4EF7-BC17-1664B4882537}" xr6:coauthVersionLast="47" xr6:coauthVersionMax="47" xr10:uidLastSave="{00000000-0000-0000-0000-000000000000}"/>
  <bookViews>
    <workbookView xWindow="-108" yWindow="-108" windowWidth="23256" windowHeight="13896" firstSheet="3" activeTab="3" xr2:uid="{00000000-000D-0000-FFFF-FFFF00000000}"/>
  </bookViews>
  <sheets>
    <sheet name="Financial Summary" sheetId="2" r:id="rId1"/>
    <sheet name="Income Statement" sheetId="3" r:id="rId2"/>
    <sheet name="Cash Flow" sheetId="5" r:id="rId3"/>
    <sheet name="Balance Sheet" sheetId="4" r:id="rId4"/>
    <sheet name="Valuation" sheetId="6" r:id="rId5"/>
    <sheet name="DCF" sheetId="7" r:id="rId6"/>
    <sheet name="DDM" sheetId="8" r:id="rId7"/>
    <sheet name="CCA" sheetId="9" r:id="rId8"/>
    <sheet name="Ratio" sheetId="10" r:id="rId9"/>
  </sheets>
  <definedNames>
    <definedName name="_xlnm._FilterDatabase" localSheetId="5" hidden="1">DCF!$C$4:$L$5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8" l="1"/>
  <c r="K2" i="8"/>
  <c r="K1" i="8"/>
  <c r="J1" i="8"/>
  <c r="F18" i="8"/>
  <c r="AQ30" i="7"/>
  <c r="AP28" i="7"/>
  <c r="AG39" i="7"/>
  <c r="AF39" i="7"/>
  <c r="AE39" i="7"/>
  <c r="AD39" i="7"/>
  <c r="AC39" i="7"/>
  <c r="AB39" i="7"/>
  <c r="AA39" i="7"/>
  <c r="AB38" i="7"/>
  <c r="AE38" i="7"/>
  <c r="AF38" i="7"/>
  <c r="AA38" i="7"/>
  <c r="AB31" i="7"/>
  <c r="AC31" i="7"/>
  <c r="AC38" i="7" s="1"/>
  <c r="AD31" i="7"/>
  <c r="AD38" i="7" s="1"/>
  <c r="AE31" i="7"/>
  <c r="AF31" i="7"/>
  <c r="AG31" i="7"/>
  <c r="AG38" i="7" s="1"/>
  <c r="AA31" i="7"/>
  <c r="AB28" i="7"/>
  <c r="AC28" i="7"/>
  <c r="AD28" i="7"/>
  <c r="AE28" i="7"/>
  <c r="AF28" i="7"/>
  <c r="AG28" i="7"/>
  <c r="AA28" i="7"/>
  <c r="D9" i="8"/>
  <c r="F2" i="8" s="1"/>
  <c r="I2" i="8" s="1"/>
  <c r="C14" i="9"/>
  <c r="K7" i="8"/>
  <c r="K5" i="8"/>
  <c r="K4" i="8"/>
  <c r="K3" i="8"/>
  <c r="M3" i="7"/>
  <c r="N3" i="7" s="1"/>
  <c r="N6" i="7" s="1"/>
  <c r="C2" i="8"/>
  <c r="C7" i="10"/>
  <c r="C6" i="10" s="1"/>
  <c r="D7" i="10"/>
  <c r="D6" i="10" s="1"/>
  <c r="E7" i="10"/>
  <c r="E6" i="10" s="1"/>
  <c r="F7" i="10"/>
  <c r="F6" i="10" s="1"/>
  <c r="G7" i="10"/>
  <c r="G6" i="10" s="1"/>
  <c r="H7" i="10"/>
  <c r="H6" i="10" s="1"/>
  <c r="I7" i="10"/>
  <c r="I6" i="10" s="1"/>
  <c r="B7" i="10"/>
  <c r="B6" i="10" s="1"/>
  <c r="C30" i="10"/>
  <c r="D30" i="10"/>
  <c r="E30" i="10"/>
  <c r="F30" i="10"/>
  <c r="G30" i="10"/>
  <c r="H30" i="10"/>
  <c r="I30" i="10"/>
  <c r="C31" i="10"/>
  <c r="D31" i="10"/>
  <c r="E31" i="10"/>
  <c r="F31" i="10"/>
  <c r="G31" i="10"/>
  <c r="H31" i="10"/>
  <c r="I31" i="10"/>
  <c r="C32" i="10"/>
  <c r="D32" i="10"/>
  <c r="E32" i="10"/>
  <c r="F32" i="10"/>
  <c r="G32" i="10"/>
  <c r="H32" i="10"/>
  <c r="I32" i="10"/>
  <c r="B32" i="10"/>
  <c r="B31" i="10"/>
  <c r="B30" i="10"/>
  <c r="C29" i="10"/>
  <c r="D29" i="10"/>
  <c r="E29" i="10"/>
  <c r="F29" i="10"/>
  <c r="G29" i="10"/>
  <c r="H29" i="10"/>
  <c r="I29" i="10"/>
  <c r="B29" i="10"/>
  <c r="C28" i="10"/>
  <c r="D28" i="10"/>
  <c r="E28" i="10"/>
  <c r="F28" i="10"/>
  <c r="G28" i="10"/>
  <c r="H28" i="10"/>
  <c r="I28" i="10"/>
  <c r="B28" i="10"/>
  <c r="C27" i="10"/>
  <c r="D27" i="10"/>
  <c r="E27" i="10"/>
  <c r="F27" i="10"/>
  <c r="G27" i="10"/>
  <c r="H27" i="10"/>
  <c r="I27" i="10"/>
  <c r="B27" i="10"/>
  <c r="C26" i="10"/>
  <c r="D26" i="10"/>
  <c r="E26" i="10"/>
  <c r="F26" i="10"/>
  <c r="G26" i="10"/>
  <c r="H26" i="10"/>
  <c r="I26" i="10"/>
  <c r="B26" i="10"/>
  <c r="C25" i="10"/>
  <c r="D25" i="10"/>
  <c r="E25" i="10"/>
  <c r="F25" i="10"/>
  <c r="G25" i="10"/>
  <c r="H25" i="10"/>
  <c r="I25" i="10"/>
  <c r="B25" i="10"/>
  <c r="C20" i="10"/>
  <c r="D20" i="10"/>
  <c r="E20" i="10"/>
  <c r="F20" i="10"/>
  <c r="G20" i="10"/>
  <c r="H20" i="10"/>
  <c r="I20" i="10"/>
  <c r="B20" i="10"/>
  <c r="C19" i="10"/>
  <c r="D19" i="10"/>
  <c r="E19" i="10"/>
  <c r="F19" i="10"/>
  <c r="G19" i="10"/>
  <c r="H19" i="10"/>
  <c r="I19" i="10"/>
  <c r="B19" i="10"/>
  <c r="C18" i="10"/>
  <c r="D18" i="10"/>
  <c r="E18" i="10"/>
  <c r="F18" i="10"/>
  <c r="G18" i="10"/>
  <c r="H18" i="10"/>
  <c r="I18" i="10"/>
  <c r="B18" i="10"/>
  <c r="C17" i="10"/>
  <c r="D17" i="10"/>
  <c r="E17" i="10"/>
  <c r="F17" i="10"/>
  <c r="G17" i="10"/>
  <c r="H17" i="10"/>
  <c r="I17" i="10"/>
  <c r="B17" i="10"/>
  <c r="C16" i="10"/>
  <c r="D16" i="10"/>
  <c r="E16" i="10"/>
  <c r="F16" i="10"/>
  <c r="G16" i="10"/>
  <c r="H16" i="10"/>
  <c r="I16" i="10"/>
  <c r="B16" i="10"/>
  <c r="C15" i="10"/>
  <c r="D15" i="10"/>
  <c r="E15" i="10"/>
  <c r="F15" i="10"/>
  <c r="G15" i="10"/>
  <c r="H15" i="10"/>
  <c r="I15" i="10"/>
  <c r="B15" i="10"/>
  <c r="C14" i="10"/>
  <c r="D14" i="10"/>
  <c r="E14" i="10"/>
  <c r="F14" i="10"/>
  <c r="G14" i="10"/>
  <c r="H14" i="10"/>
  <c r="I14" i="10"/>
  <c r="B14" i="10"/>
  <c r="C4" i="10"/>
  <c r="D4" i="10"/>
  <c r="E4" i="10"/>
  <c r="F4" i="10"/>
  <c r="G4" i="10"/>
  <c r="H4" i="10"/>
  <c r="I4" i="10"/>
  <c r="B4" i="10"/>
  <c r="C3" i="10"/>
  <c r="D3" i="10"/>
  <c r="E3" i="10"/>
  <c r="F3" i="10"/>
  <c r="G3" i="10"/>
  <c r="H3" i="10"/>
  <c r="I3" i="10"/>
  <c r="B3" i="10"/>
  <c r="C2" i="10"/>
  <c r="D2" i="10"/>
  <c r="E2" i="10"/>
  <c r="F2" i="10"/>
  <c r="G2" i="10"/>
  <c r="H2" i="10"/>
  <c r="I2" i="10"/>
  <c r="B2" i="10"/>
  <c r="M5" i="7"/>
  <c r="N5" i="7" s="1"/>
  <c r="B20" i="7" s="1"/>
  <c r="C20" i="7" s="1"/>
  <c r="M4" i="7"/>
  <c r="N4" i="7" s="1"/>
  <c r="O4" i="7" s="1"/>
  <c r="P4" i="7" s="1"/>
  <c r="E18" i="7"/>
  <c r="E17" i="7"/>
  <c r="E16" i="7"/>
  <c r="E15" i="7"/>
  <c r="E14" i="7"/>
  <c r="E13" i="7"/>
  <c r="E12" i="7"/>
  <c r="E11" i="7"/>
  <c r="E10" i="7"/>
  <c r="E9" i="7"/>
  <c r="V59" i="7"/>
  <c r="V55" i="7"/>
  <c r="C16" i="8" l="1"/>
  <c r="L1" i="8"/>
  <c r="O5" i="7"/>
  <c r="B21" i="7" s="1"/>
  <c r="C21" i="7" s="1"/>
  <c r="V28" i="7"/>
  <c r="O3" i="7"/>
  <c r="O6" i="7" s="1"/>
  <c r="L2" i="8" l="1"/>
  <c r="J3" i="8"/>
  <c r="W28" i="7"/>
  <c r="P5" i="7"/>
  <c r="B22" i="7" s="1"/>
  <c r="C22" i="7" s="1"/>
  <c r="L3" i="8" l="1"/>
  <c r="J4" i="8"/>
  <c r="Q5" i="7"/>
  <c r="B23" i="7" s="1"/>
  <c r="C23" i="7" s="1"/>
  <c r="X28" i="7"/>
  <c r="L4" i="8" l="1"/>
  <c r="J5" i="8"/>
  <c r="R5" i="7"/>
  <c r="Y28" i="7"/>
  <c r="L5" i="8" l="1"/>
  <c r="J7" i="8"/>
  <c r="Z28" i="7"/>
  <c r="B24" i="7"/>
  <c r="C24" i="7" s="1"/>
  <c r="L7" i="8" l="1"/>
  <c r="J8" i="8"/>
  <c r="L8" i="8"/>
  <c r="Z39" i="7"/>
  <c r="Y39" i="7"/>
  <c r="X39" i="7"/>
  <c r="W39" i="7"/>
  <c r="V39" i="7"/>
  <c r="AP4" i="7"/>
  <c r="AP5" i="7" s="1"/>
  <c r="AQ4" i="7"/>
  <c r="AQ5" i="7" s="1"/>
  <c r="AP47" i="7"/>
  <c r="E11" i="9"/>
  <c r="B20" i="9"/>
  <c r="C13" i="9"/>
  <c r="D11" i="9"/>
  <c r="C12" i="9"/>
  <c r="C11" i="9"/>
  <c r="C10" i="9"/>
  <c r="D10" i="9"/>
  <c r="E10" i="9"/>
  <c r="AQ32" i="7"/>
  <c r="AQ36" i="7"/>
  <c r="AQ35" i="7"/>
  <c r="AP44" i="7"/>
  <c r="AV28" i="7"/>
  <c r="AQ33" i="7" s="1"/>
  <c r="AP45" i="7" s="1"/>
  <c r="AS28" i="7"/>
  <c r="AP46" i="7" s="1"/>
  <c r="V54" i="7" l="1"/>
  <c r="V56" i="7" s="1"/>
  <c r="V29" i="7"/>
  <c r="AQ29" i="7"/>
  <c r="AQ34" i="7"/>
  <c r="AP48" i="7"/>
  <c r="AP42" i="7" l="1"/>
  <c r="V36" i="7"/>
  <c r="W36" i="7" s="1"/>
  <c r="X36" i="7" s="1"/>
  <c r="Y36" i="7" s="1"/>
  <c r="Z36" i="7" s="1"/>
  <c r="AQ31" i="7"/>
  <c r="AP43" i="7" s="1"/>
  <c r="W29" i="7"/>
  <c r="AP41" i="7" l="1"/>
  <c r="AP49" i="7" s="1"/>
  <c r="V44" i="7" s="1"/>
  <c r="V45" i="7" s="1"/>
  <c r="V52" i="7" s="1"/>
  <c r="X29" i="7"/>
  <c r="Y29" i="7" l="1"/>
  <c r="Z29" i="7" l="1"/>
  <c r="P3" i="7" l="1"/>
  <c r="P6" i="7" s="1"/>
  <c r="Q4" i="7"/>
  <c r="R4" i="7" s="1"/>
  <c r="AY4" i="7"/>
  <c r="AG40" i="7" s="1"/>
  <c r="AX4" i="7"/>
  <c r="AF40" i="7" s="1"/>
  <c r="AW4" i="7"/>
  <c r="AE40" i="7" s="1"/>
  <c r="AV4" i="7"/>
  <c r="AD40" i="7" s="1"/>
  <c r="AU4" i="7"/>
  <c r="AC40" i="7" s="1"/>
  <c r="AT4" i="7"/>
  <c r="AB40" i="7" s="1"/>
  <c r="AS4" i="7"/>
  <c r="AA40" i="7" s="1"/>
  <c r="AR4" i="7"/>
  <c r="AR5" i="7" s="1"/>
  <c r="AH11" i="7"/>
  <c r="AI11" i="7"/>
  <c r="AJ11" i="7" s="1"/>
  <c r="AK11" i="7" s="1"/>
  <c r="AL11" i="7" s="1"/>
  <c r="X21" i="7"/>
  <c r="Y21" i="7"/>
  <c r="Z21" i="7"/>
  <c r="AA21" i="7"/>
  <c r="AB21" i="7"/>
  <c r="AC21" i="7"/>
  <c r="AD21" i="7"/>
  <c r="AE21" i="7"/>
  <c r="AF21" i="7"/>
  <c r="X20" i="7"/>
  <c r="Y20" i="7"/>
  <c r="Z20" i="7"/>
  <c r="AA20" i="7"/>
  <c r="AB20" i="7"/>
  <c r="AC20" i="7"/>
  <c r="AD20" i="7"/>
  <c r="AE20" i="7"/>
  <c r="AF20" i="7"/>
  <c r="X19" i="7"/>
  <c r="Y19" i="7"/>
  <c r="Z19" i="7"/>
  <c r="AA19" i="7"/>
  <c r="AB19" i="7"/>
  <c r="AC19" i="7"/>
  <c r="AD19" i="7"/>
  <c r="AE19" i="7"/>
  <c r="AF19" i="7"/>
  <c r="X18" i="7"/>
  <c r="Y18" i="7"/>
  <c r="Z18" i="7"/>
  <c r="AA18" i="7"/>
  <c r="AB18" i="7"/>
  <c r="AC18" i="7"/>
  <c r="AD18" i="7"/>
  <c r="AE18" i="7"/>
  <c r="AF18" i="7"/>
  <c r="X17" i="7"/>
  <c r="Y17" i="7"/>
  <c r="Z17" i="7"/>
  <c r="AA17" i="7"/>
  <c r="AB17" i="7"/>
  <c r="AC17" i="7"/>
  <c r="AD17" i="7"/>
  <c r="AE17" i="7"/>
  <c r="AF17" i="7"/>
  <c r="X16" i="7"/>
  <c r="Y16" i="7"/>
  <c r="Z16" i="7"/>
  <c r="AA16" i="7"/>
  <c r="AB16" i="7"/>
  <c r="AC16" i="7"/>
  <c r="AD16" i="7"/>
  <c r="AE16" i="7"/>
  <c r="AF16" i="7"/>
  <c r="X15" i="7"/>
  <c r="Y15" i="7"/>
  <c r="Z15" i="7"/>
  <c r="AA15" i="7"/>
  <c r="AB15" i="7"/>
  <c r="AC15" i="7"/>
  <c r="AD15" i="7"/>
  <c r="AE15" i="7"/>
  <c r="AF15" i="7"/>
  <c r="W16" i="7"/>
  <c r="W17" i="7"/>
  <c r="W18" i="7"/>
  <c r="W19" i="7"/>
  <c r="W20" i="7"/>
  <c r="W21" i="7"/>
  <c r="AF14" i="7"/>
  <c r="X14" i="7"/>
  <c r="Y14" i="7"/>
  <c r="Z14" i="7"/>
  <c r="AA14" i="7"/>
  <c r="AB14" i="7"/>
  <c r="AC14" i="7"/>
  <c r="AD14" i="7"/>
  <c r="AE14" i="7"/>
  <c r="AG5" i="7"/>
  <c r="AG6" i="7"/>
  <c r="AG7" i="7"/>
  <c r="AG8" i="7"/>
  <c r="AG9" i="7"/>
  <c r="AH7" i="7" s="1"/>
  <c r="AI7" i="7" s="1"/>
  <c r="AJ7" i="7" s="1"/>
  <c r="AK7" i="7" s="1"/>
  <c r="AL7" i="7" s="1"/>
  <c r="AG10" i="7"/>
  <c r="AH10" i="7" s="1"/>
  <c r="AI10" i="7" s="1"/>
  <c r="AJ10" i="7" s="1"/>
  <c r="AK10" i="7" s="1"/>
  <c r="AL10" i="7" s="1"/>
  <c r="AG11" i="7"/>
  <c r="V5" i="7"/>
  <c r="W15" i="7" s="1"/>
  <c r="V4" i="7"/>
  <c r="W14" i="7" s="1"/>
  <c r="AE12" i="7"/>
  <c r="AF30" i="7" s="1"/>
  <c r="AF34" i="7" s="1"/>
  <c r="AD12" i="7"/>
  <c r="AE30" i="7" s="1"/>
  <c r="AE34" i="7" s="1"/>
  <c r="AC12" i="7"/>
  <c r="AD30" i="7" s="1"/>
  <c r="AD34" i="7" s="1"/>
  <c r="AB12" i="7"/>
  <c r="AC30" i="7" s="1"/>
  <c r="AC34" i="7" s="1"/>
  <c r="AA12" i="7"/>
  <c r="AB30" i="7" s="1"/>
  <c r="AB34" i="7" s="1"/>
  <c r="Z12" i="7"/>
  <c r="AA30" i="7" s="1"/>
  <c r="AA34" i="7" s="1"/>
  <c r="Y12" i="7"/>
  <c r="X12" i="7"/>
  <c r="W12" i="7"/>
  <c r="W22" i="7" s="1"/>
  <c r="AF12" i="7"/>
  <c r="AG30" i="7" s="1"/>
  <c r="AG34" i="7" s="1"/>
  <c r="I1" i="8"/>
  <c r="F12" i="8"/>
  <c r="C6" i="8"/>
  <c r="C7" i="8"/>
  <c r="C8" i="8"/>
  <c r="C9" i="8"/>
  <c r="C10" i="8"/>
  <c r="C11" i="8"/>
  <c r="C12" i="8"/>
  <c r="C13" i="8"/>
  <c r="C14" i="8"/>
  <c r="C15" i="8"/>
  <c r="C5" i="8"/>
  <c r="B2" i="8"/>
  <c r="AC32" i="7" l="1"/>
  <c r="AC37" i="7"/>
  <c r="AD37" i="7"/>
  <c r="AD32" i="7"/>
  <c r="AE37" i="7"/>
  <c r="AE32" i="7"/>
  <c r="AZ5" i="7"/>
  <c r="AF37" i="7"/>
  <c r="AF32" i="7"/>
  <c r="AA37" i="7"/>
  <c r="AA32" i="7"/>
  <c r="AB32" i="7"/>
  <c r="AB37" i="7"/>
  <c r="AG37" i="7"/>
  <c r="AG32" i="7"/>
  <c r="AD22" i="7"/>
  <c r="AB22" i="7"/>
  <c r="AE22" i="7"/>
  <c r="AA22" i="7"/>
  <c r="AG18" i="7"/>
  <c r="AF22" i="7"/>
  <c r="AG14" i="7"/>
  <c r="AC22" i="7"/>
  <c r="AG19" i="7"/>
  <c r="X22" i="7"/>
  <c r="Y22" i="7"/>
  <c r="AV5" i="7"/>
  <c r="Z22" i="7"/>
  <c r="AG15" i="7"/>
  <c r="AW5" i="7"/>
  <c r="AG21" i="7"/>
  <c r="AX5" i="7"/>
  <c r="AG20" i="7"/>
  <c r="AY5" i="7"/>
  <c r="BA4" i="7"/>
  <c r="V40" i="7" s="1"/>
  <c r="AT5" i="7"/>
  <c r="AG17" i="7"/>
  <c r="AS5" i="7"/>
  <c r="AG16" i="7"/>
  <c r="AH6" i="7" s="1"/>
  <c r="AU5" i="7"/>
  <c r="Q3" i="7"/>
  <c r="Q6" i="7" s="1"/>
  <c r="AG22" i="7" l="1"/>
  <c r="AH12" i="7"/>
  <c r="V30" i="7" s="1"/>
  <c r="V34" i="7" s="1"/>
  <c r="V32" i="7" s="1"/>
  <c r="AI6" i="7"/>
  <c r="V31" i="7"/>
  <c r="V38" i="7" s="1"/>
  <c r="BB4" i="7"/>
  <c r="BC4" i="7" s="1"/>
  <c r="R3" i="7"/>
  <c r="R6" i="7" s="1"/>
  <c r="W40" i="7"/>
  <c r="I3" i="8"/>
  <c r="I4" i="8" s="1"/>
  <c r="AJ6" i="7" l="1"/>
  <c r="W31" i="7"/>
  <c r="W38" i="7" s="1"/>
  <c r="AI12" i="7"/>
  <c r="W30" i="7" s="1"/>
  <c r="W34" i="7" s="1"/>
  <c r="W37" i="7"/>
  <c r="W41" i="7" s="1"/>
  <c r="BD4" i="7"/>
  <c r="X40" i="7"/>
  <c r="I5" i="8"/>
  <c r="I7" i="8" s="1"/>
  <c r="I8" i="8" s="1"/>
  <c r="W35" i="7" l="1"/>
  <c r="W32" i="7"/>
  <c r="W33" i="7" s="1"/>
  <c r="V33" i="7"/>
  <c r="V37" i="7"/>
  <c r="V41" i="7" s="1"/>
  <c r="V35" i="7"/>
  <c r="AK6" i="7"/>
  <c r="X31" i="7"/>
  <c r="X38" i="7" s="1"/>
  <c r="AJ12" i="7"/>
  <c r="X30" i="7" s="1"/>
  <c r="BE4" i="7"/>
  <c r="Z40" i="7" s="1"/>
  <c r="Y40" i="7"/>
  <c r="X34" i="7" l="1"/>
  <c r="X35" i="7" s="1"/>
  <c r="AL6" i="7"/>
  <c r="AK12" i="7"/>
  <c r="Y30" i="7" s="1"/>
  <c r="Y31" i="7"/>
  <c r="Y38" i="7" s="1"/>
  <c r="X37" i="7" l="1"/>
  <c r="X41" i="7" s="1"/>
  <c r="X32" i="7"/>
  <c r="X33" i="7" s="1"/>
  <c r="Y34" i="7"/>
  <c r="Z31" i="7"/>
  <c r="Z38" i="7" s="1"/>
  <c r="AL12" i="7"/>
  <c r="Z30" i="7" s="1"/>
  <c r="Z34" i="7" s="1"/>
  <c r="Z35" i="7" l="1"/>
  <c r="Z37" i="7"/>
  <c r="Z41" i="7" s="1"/>
  <c r="V49" i="7" s="1"/>
  <c r="Z32" i="7"/>
  <c r="Z33" i="7" s="1"/>
  <c r="Y32" i="7"/>
  <c r="Y33" i="7" s="1"/>
  <c r="Y35" i="7"/>
  <c r="Y37" i="7"/>
  <c r="Y41" i="7" s="1"/>
  <c r="V51" i="7" l="1"/>
  <c r="V53" i="7" s="1"/>
  <c r="V58" i="7" s="1"/>
  <c r="V60" i="7" s="1"/>
  <c r="V50" i="7"/>
</calcChain>
</file>

<file path=xl/sharedStrings.xml><?xml version="1.0" encoding="utf-8"?>
<sst xmlns="http://schemas.openxmlformats.org/spreadsheetml/2006/main" count="1248" uniqueCount="754">
  <si>
    <t>Company Name</t>
  </si>
  <si>
    <t>FirstEnergy Corp (FE.N)</t>
  </si>
  <si>
    <t>Country of Exchange</t>
  </si>
  <si>
    <t>United States of America</t>
  </si>
  <si>
    <t>Country of Headquarters</t>
  </si>
  <si>
    <t>TRBC Industry Group</t>
  </si>
  <si>
    <t>Electric Utilities &amp; IPPs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</si>
  <si>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</si>
  <si>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</si>
  <si>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</si>
  <si>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</si>
  <si>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</si>
  <si>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</si>
  <si>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</si>
  <si>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</si>
  <si>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</si>
  <si>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</si>
  <si>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</si>
  <si>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</si>
  <si>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</si>
  <si>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</si>
  <si>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</si>
  <si>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</si>
  <si>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</si>
  <si>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</si>
  <si>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</si>
  <si>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</si>
  <si>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Period End Date</t>
  </si>
  <si>
    <t>Statement Date</t>
  </si>
  <si>
    <t>Standardized Currency</t>
  </si>
  <si>
    <t>USD</t>
  </si>
  <si>
    <t>Template Type</t>
  </si>
  <si>
    <t>Industrial - Operating</t>
  </si>
  <si>
    <t>Period End FX Rate</t>
  </si>
  <si>
    <t>Avg. FX Rate</t>
  </si>
  <si>
    <t>Financial Summary - Standardized (Currency: Canadian Dollar)</t>
  </si>
  <si>
    <t>Field Name</t>
  </si>
  <si>
    <t>30-12-2024</t>
  </si>
  <si>
    <t>30-12-2023</t>
  </si>
  <si>
    <t>30-12-2022</t>
  </si>
  <si>
    <t>30-12-2021</t>
  </si>
  <si>
    <t>30-12-2020</t>
  </si>
  <si>
    <t>30-12-2019</t>
  </si>
  <si>
    <t>30-12-2018</t>
  </si>
  <si>
    <t>30-12-2017</t>
  </si>
  <si>
    <t>30-12-2016</t>
  </si>
  <si>
    <t>30-12-2015</t>
  </si>
  <si>
    <t>Selected Per Share Data</t>
  </si>
  <si>
    <t>Dividend Yield - Common Stock - Gross - Issue Specific - %</t>
  </si>
  <si>
    <t>Dividend Yield - Common Stock - Net - Issue Specific - %</t>
  </si>
  <si>
    <t>Shares used to calculate Diluted EPS - Total</t>
  </si>
  <si>
    <t>Profitability / Return</t>
  </si>
  <si>
    <t>Gross Profit Margin - %</t>
  </si>
  <si>
    <t>EBITDA Margin - %</t>
  </si>
  <si>
    <t>Operating Margin - %</t>
  </si>
  <si>
    <t>Income before Tax Margin - %</t>
  </si>
  <si>
    <t>Income Tax Rate - %</t>
  </si>
  <si>
    <t>Net Margin - %</t>
  </si>
  <si>
    <t>Return on Average Common Equity - % (Income available to Common excluding Extraordinary Items)</t>
  </si>
  <si>
    <t>Return on Average Total Assets - % (Income before Discontinued Operations &amp; Extraordinary Items)</t>
  </si>
  <si>
    <t>Return on Invested Capital - %</t>
  </si>
  <si>
    <t>Growth</t>
  </si>
  <si>
    <t>Common Shares - Outstanding - Total</t>
  </si>
  <si>
    <t>Financial Strength / Leverage</t>
  </si>
  <si>
    <t>Total Debt Percentage of Total Assets</t>
  </si>
  <si>
    <t>Total Debt Percentage of Total Capital</t>
  </si>
  <si>
    <t>Total Debt Percentage of Total Equity</t>
  </si>
  <si>
    <t>Debt Service Percentage of Normalized after Tax Profit</t>
  </si>
  <si>
    <t>Interest Coverage Ratio</t>
  </si>
  <si>
    <t>Dividend Coverage - %</t>
  </si>
  <si>
    <t>Earnings Retention Rate</t>
  </si>
  <si>
    <t>Dividend Payout Ratio - %</t>
  </si>
  <si>
    <t>Dupont / Earning Power</t>
  </si>
  <si>
    <t>Asset Turnover</t>
  </si>
  <si>
    <t>Pretax ROA - %</t>
  </si>
  <si>
    <t>Total Assets to Total Shareholders Equity - including Minority Interest &amp; Hybrid Debt</t>
  </si>
  <si>
    <t>Pretax ROE - %</t>
  </si>
  <si>
    <t>Tax Complement</t>
  </si>
  <si>
    <t>Reinvestment Rate - %</t>
  </si>
  <si>
    <t>Liquidity</t>
  </si>
  <si>
    <t>Current Ratio</t>
  </si>
  <si>
    <t>Quick Ratio</t>
  </si>
  <si>
    <t>Working Capital to Total Assets</t>
  </si>
  <si>
    <t>Operating</t>
  </si>
  <si>
    <t>Accounts Receivable Turnover</t>
  </si>
  <si>
    <t>Average Receivables Collection Days</t>
  </si>
  <si>
    <t>Payables Turnover</t>
  </si>
  <si>
    <t>Average Payables Payment Days</t>
  </si>
  <si>
    <t>Inventory Turnover</t>
  </si>
  <si>
    <t>Average Inventory Days</t>
  </si>
  <si>
    <t>Average Net Trade Cycle Days</t>
  </si>
  <si>
    <t>Company Fundamentals - Income Statement</t>
  </si>
  <si>
    <t>FirstEnergy Corp (FE.N)</t>
    <phoneticPr fontId="8" type="noConversion"/>
  </si>
  <si>
    <t>Income Statement - Standardized (Currency: Canadian Dollar)</t>
  </si>
  <si>
    <t>Revenues</t>
  </si>
  <si>
    <t>Revenue from Goods &amp; Services</t>
  </si>
  <si>
    <t>Utility Revenue - Total</t>
  </si>
  <si>
    <t>Utility Revenue - Electric Operations</t>
  </si>
  <si>
    <t>Utility Revenue - Non-Utility Operations</t>
  </si>
  <si>
    <t>Revenue from Business Activities - Total</t>
  </si>
  <si>
    <t>Operating Expenses</t>
  </si>
  <si>
    <t>Cost of Operating Revenue</t>
  </si>
  <si>
    <t>Cost of Revenues - Total</t>
  </si>
  <si>
    <t>Depreciation in Cost of Revenues</t>
  </si>
  <si>
    <t>Material Expenses</t>
  </si>
  <si>
    <t>Utility Cost of Revenue - Fuel Expense</t>
  </si>
  <si>
    <t>Utility Cost of Revenue - Purchased Power</t>
  </si>
  <si>
    <t>Gross Profit - Industrials/Property - Total</t>
  </si>
  <si>
    <t>Selling, General &amp; Administrative Expenses - Total</t>
  </si>
  <si>
    <t>Selling, General &amp; Administrative Expenses - Other - Total</t>
  </si>
  <si>
    <t>Property &amp; Other Taxes</t>
  </si>
  <si>
    <t>Rental Expense</t>
  </si>
  <si>
    <t>Other Operating Expense/(Income) - Net</t>
  </si>
  <si>
    <t>Other Operating Income - Total</t>
  </si>
  <si>
    <t>Other Operating Expense</t>
  </si>
  <si>
    <t>Operating Expenses - Total</t>
  </si>
  <si>
    <t>Operating Profit</t>
  </si>
  <si>
    <t>Operating Profit before Non-Recurring Income/Expense</t>
    <phoneticPr fontId="8" type="noConversion"/>
  </si>
  <si>
    <t>Non-Operating Expenses</t>
  </si>
  <si>
    <t>Financing Income/(Expense) - Net - Total</t>
  </si>
  <si>
    <t>Interest Expense - Net of (Interest Income)</t>
  </si>
  <si>
    <t>Interest Income - Non-Bank</t>
  </si>
  <si>
    <t>Interest Expense - Net of Capitalized Interest</t>
  </si>
  <si>
    <t>Interest Expense on Capital Financing - Gross</t>
  </si>
  <si>
    <t>Interest Capitalized</t>
  </si>
  <si>
    <t>Non-Interest Financial Income/(Expense) - Total</t>
  </si>
  <si>
    <t>Non-Interest Financial Income/(Expense) - Other - Net</t>
  </si>
  <si>
    <t>Sale of Tangible &amp; Intangible Fixed Assets - Gain/(Loss)</t>
  </si>
  <si>
    <t>Equity Earnings/(Loss) - before Taxes including Non-Recurring</t>
  </si>
  <si>
    <t>Other Non-Operating Income/(Expense) - Total</t>
  </si>
  <si>
    <t>Normalized Pre-tax Profit</t>
  </si>
  <si>
    <t>Non-Recurring Income/Expense</t>
  </si>
  <si>
    <t>Non-Recurring Income/(Expense) - Total</t>
  </si>
  <si>
    <t>Impairment - Tangible &amp; Intangible Fixed Assets</t>
  </si>
  <si>
    <t>Impairment - Fixed Assets</t>
  </si>
  <si>
    <t>Impairment - Financial Investments</t>
  </si>
  <si>
    <t>Unrealized Adjustments on Derivatives for Hedging</t>
  </si>
  <si>
    <t>Debt Restructuring - Gain/(Loss)</t>
  </si>
  <si>
    <t>Non-Recurring Income/(Expense) - Other - Total</t>
  </si>
  <si>
    <t>Pre-Tax Income</t>
  </si>
  <si>
    <t>Income before Taxes</t>
  </si>
  <si>
    <t>Taxes</t>
  </si>
  <si>
    <t>Income Taxes</t>
  </si>
  <si>
    <t>Income Taxes for the Year - Current</t>
  </si>
  <si>
    <t>Income Taxes - Domestic - Current</t>
  </si>
  <si>
    <t>Income Taxes - Deferred</t>
  </si>
  <si>
    <t>Income Taxes - Domestic - Deferred</t>
  </si>
  <si>
    <t>Income Taxes - Other (by Type)</t>
  </si>
  <si>
    <t>Net Income After Tax</t>
  </si>
  <si>
    <t>Net Income after Tax</t>
  </si>
  <si>
    <t>After Tax Income/Expense</t>
  </si>
  <si>
    <t>Income before Discontinued Operations &amp; Extraordinary Items</t>
  </si>
  <si>
    <t>Extraordinary Activities - after Tax - Gain/(Loss)</t>
  </si>
  <si>
    <t>Discontinued Operations - Net of Taxes - Total - Income/(Expense)</t>
  </si>
  <si>
    <t>Discontinued Operations - Net - Income/(Expense)</t>
  </si>
  <si>
    <t>Sale of Discontinued Operations - Net - Gain/(Loss)</t>
  </si>
  <si>
    <t>Discontinued Operations before Tax - Total - Income/(Expense)</t>
  </si>
  <si>
    <t>Discontinued Operations before Tax - Income/(Expense)</t>
  </si>
  <si>
    <t>Sale of Discontinued Operations before Tax - Gain/(Loss)</t>
  </si>
  <si>
    <t>Discontinued Operations - Tax Impacts</t>
  </si>
  <si>
    <t>Extraordinary Items</t>
  </si>
  <si>
    <t>Net Income before Minority Interest</t>
  </si>
  <si>
    <t>Minority Interest</t>
  </si>
  <si>
    <t>Net Income after Minority Interest</t>
  </si>
  <si>
    <t>Net Income</t>
  </si>
  <si>
    <t>Distribution for Preferred Shares</t>
  </si>
  <si>
    <t>Earnings Adjustments to Net Income - Other Expense/(Income)</t>
  </si>
  <si>
    <t>Income Available to Common Shares</t>
  </si>
  <si>
    <t>Other Comprehensive Income</t>
  </si>
  <si>
    <t>Other Comprehensive Income - Starting Line</t>
  </si>
  <si>
    <t>Other Comprehensive Income - Unrealized Investment Gain/(Loss)</t>
  </si>
  <si>
    <t>Other Comprehensive Income - Hedging Gain/(Loss)</t>
  </si>
  <si>
    <t>Other Comprehensive Income - Pension Related</t>
  </si>
  <si>
    <t>Other Comprehensive Income - Income Tax</t>
  </si>
  <si>
    <t>Other Comprehensive Income - Net of Tax - Total</t>
  </si>
  <si>
    <t>Comprehensive Income before Minority Interest - Total</t>
  </si>
  <si>
    <t>Comprehensive Income - Attributable to Minority Interest - Total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</si>
  <si>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</si>
  <si>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</si>
  <si>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</si>
  <si>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</si>
  <si>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</si>
  <si>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</si>
  <si>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</si>
  <si>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</si>
  <si>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Allocated Net Income including Extraordinary Items Applicable to Common - Issue Specific</t>
  </si>
  <si>
    <t>Earnings Allocation Factor - Basic - Issue Specific</t>
  </si>
  <si>
    <t>Shares used to calculate Basic EPS - Issue Specific</t>
  </si>
  <si>
    <t>EPS - Basic - including Extraordinary Items Applicable to Common - Issue Specific</t>
  </si>
  <si>
    <t>EPS - Basic - excluding Extraordinary Items Applicable to Common - Issue Specific</t>
  </si>
  <si>
    <t>EPS - Basic - excluding Extraordinary Items - Normalized - Issue Specific</t>
  </si>
  <si>
    <t>EPS - Basic from Discontinued Operations &amp; Extraordinary Items</t>
  </si>
  <si>
    <t>Comprehensive Earnings Per Share - Basic - Issue Specific</t>
  </si>
  <si>
    <t>Share/Per Share - Diluted</t>
  </si>
  <si>
    <t>Dilution Adjustment</t>
  </si>
  <si>
    <t>Net Income - Diluted - including Extraordinary Items Applicable to Common - Total</t>
  </si>
  <si>
    <t>Diluted Income available to Common excluding Extraordinary Items</t>
  </si>
  <si>
    <t>EPS - Diluted - including Extraordinary Items Applicable to Common - Total</t>
  </si>
  <si>
    <t>EPS - Diluted - excluding Extraordinary Items Applicable to Common - Total</t>
  </si>
  <si>
    <t>EPS - Diluted - excluding Extraordinary Items - Normalized - Total</t>
  </si>
  <si>
    <t>Allocated Diluted Net Income including Extraordinary Items Applicable to Common - Issue Specific</t>
  </si>
  <si>
    <t>Earnings Allocation Factor - Diluted - Issue Specific</t>
  </si>
  <si>
    <t>Shares used to calculate Diluted EPS - Issue Specific</t>
  </si>
  <si>
    <t>EPS - Diluted - including Extraordinary Items Applicable to Common - Issue Specific</t>
  </si>
  <si>
    <t>EPS - Diluted - excluding Extraordinary Items Applicable to Common - Issue Specific</t>
  </si>
  <si>
    <t>EPS - Diluted - excluding Extraordinary Items - Normalized - Issue Specific</t>
  </si>
  <si>
    <t>EPS - Diluted from Discontinued Operations &amp; Extraordinary Items</t>
  </si>
  <si>
    <t>Comprehensive Earnings Per Share - Diluted - Issue Specific</t>
  </si>
  <si>
    <t>Share/Per Share - Dividends</t>
  </si>
  <si>
    <t>DPS - Common - Gross - Issue - By Announcement Date</t>
  </si>
  <si>
    <t>DPS - Common - Net - Issue - By Announcement Date</t>
  </si>
  <si>
    <t>EBIT/EBITDA &amp; related</t>
  </si>
  <si>
    <t>Earnings before Interest &amp; Taxes (EBIT)</t>
  </si>
  <si>
    <t>Earnings before Interest, Taxes, Depreciation &amp; Amortization (EBITDA)</t>
  </si>
  <si>
    <t>Earnings before Interest, Taxes, Depreciation &amp; Amortization (EBITDA) and Operating Lease Payments</t>
  </si>
  <si>
    <t>Depreciation/Amortization - Income Statement</t>
  </si>
  <si>
    <t>Depreciation &amp; Amortization - Supplemental</t>
  </si>
  <si>
    <t>Depreciation Expense - Total - Supplemental</t>
  </si>
  <si>
    <t>Depreciation - Fin Lease Right-of-Use Assets - Total - Suppl</t>
  </si>
  <si>
    <t>Amortization - Total - Supplemental</t>
  </si>
  <si>
    <t>Intangible Amortization - Other - Supplemental</t>
  </si>
  <si>
    <t>Depreciation/Amortization - Total</t>
  </si>
  <si>
    <t>Depreciation, Depletion &amp; Amortization - Total</t>
  </si>
  <si>
    <t>Depreciation - Total</t>
  </si>
  <si>
    <t>Amortization of Intangible Assets excluding Goodwill - Total</t>
  </si>
  <si>
    <t>Labor &amp; Related Expenses</t>
  </si>
  <si>
    <t>Labor &amp; Related Expenses - Supplemental</t>
  </si>
  <si>
    <t>Stock-Based Compensation Expense - Net of Tax - Supplemental</t>
  </si>
  <si>
    <t>Stock-Based Compensation Expense - Pre-tax - Supplemental</t>
  </si>
  <si>
    <t>Stock-Based Compensation - Tax Benefit - Supplemental</t>
  </si>
  <si>
    <t>Auditor Fees</t>
  </si>
  <si>
    <t>Audit-Related Fees</t>
  </si>
  <si>
    <t>Tax Fees</t>
  </si>
  <si>
    <t>Fees - Other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</si>
  <si>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</si>
  <si>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</si>
  <si>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</si>
  <si>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</si>
  <si>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</si>
  <si>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</si>
  <si>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Derivatives - Realized Gain/Loss</t>
  </si>
  <si>
    <t>Derivatives - Realized Gain/(Loss) (including Reclassified from OCI) - Revenue - Supplemental</t>
  </si>
  <si>
    <t>Derivatives - Realized Gain/(Loss) (including Reclassified from OCI) - Cost of Goods Sold - Supplemental</t>
  </si>
  <si>
    <t>Derivatives - Realized Gain/(Loss) (including Reclassified from OCI) - Interest Expenses - Supplemental</t>
  </si>
  <si>
    <t>Derivatives - Realized Gain/(Loss) (including Reclassified from OCI) - Other - Supplemental</t>
  </si>
  <si>
    <t>Derivatives</t>
  </si>
  <si>
    <t>Derivatives - Hedging - Gain/(Loss) - Total - Supplemental</t>
  </si>
  <si>
    <t>Unrealized Adjustments on Derivatives for Hedging - Supplemental</t>
  </si>
  <si>
    <t>Lease Expenses</t>
  </si>
  <si>
    <t>Lease Expense -Total - Supplemental</t>
  </si>
  <si>
    <t>Operating /Rental Expense - Supplemental</t>
  </si>
  <si>
    <t>Depreciation of Financial Lease ROU Assets - Supplemental</t>
  </si>
  <si>
    <t>Interest Expense on Financial Lease Liabilities - Supple</t>
  </si>
  <si>
    <t>Short-Term Lease Cost - Supplemental</t>
  </si>
  <si>
    <t>Sublease Income - Supplemental</t>
  </si>
  <si>
    <t>Other</t>
  </si>
  <si>
    <t>Rental/Operating Lease Expense</t>
  </si>
  <si>
    <t>Cost of Revenue including Operation &amp; Maintenance (Utility) - Total</t>
  </si>
  <si>
    <t>Cost of Revenues excluding Depreciation</t>
  </si>
  <si>
    <t>Generation Cost</t>
  </si>
  <si>
    <t>Interest Expense</t>
  </si>
  <si>
    <t>Selling, General &amp; Administrative Expenses excluding Research &amp; Development Expenses</t>
  </si>
  <si>
    <t>Company Fundamentals - Cash Flow</t>
  </si>
  <si>
    <t>Industrial - Indirect</t>
  </si>
  <si>
    <t>Cash Flow - Standardized (Currency: Canadian Dollar)</t>
  </si>
  <si>
    <t>Operating Cash Flow - Indirect</t>
  </si>
  <si>
    <t>Profit/(Loss) - Starting Line - Cash Flow</t>
  </si>
  <si>
    <t>Non-cash Items &amp; Reconciliation Adjustments - Cash Flow</t>
  </si>
  <si>
    <t>Discontinued Operations - Gain/(Loss) - Net of Tax - Cash Flow - to Reconcile</t>
  </si>
  <si>
    <t>Other Non-Cash Items &amp; Reconciliation Adjustments - Cash Flow - to Reconcile</t>
  </si>
  <si>
    <t>Depreciation, Depletion &amp; Amortization including Impairment - Cash Flow - to Reconcile</t>
  </si>
  <si>
    <t>Accretion of Asset Retirement Obligations - Cash Flow - to Reconcile</t>
  </si>
  <si>
    <t>Depreciation &amp; Depletion - Property, Plant &amp; Equipment - Cash Flow - to Reconcile</t>
  </si>
  <si>
    <t>Impairment - Property, Plant &amp; Equipment including Intangible Assets - Cash Flow - to Reconcile</t>
  </si>
  <si>
    <t>Deferred Income Taxes &amp; Income Tax Credits - Cash Flow - to Reconcile</t>
  </si>
  <si>
    <t>Assets Sale - Gain/(Loss) - Cash Flow - to Reconcile</t>
  </si>
  <si>
    <t>Financial Assets - Unrealized Gain/(Loss) - Cash Flow - to Reconcile</t>
  </si>
  <si>
    <t>Cash Flow from Operating Activities before Changes in Working Capital</t>
  </si>
  <si>
    <t>Working Capital - Increase/(Decrease) - Cash Flow</t>
  </si>
  <si>
    <t>Accounts Receivables - Decrease/(Increase) - Cash Flow</t>
  </si>
  <si>
    <t>Inventories - Decrease/(Increase) - Cash Flow</t>
  </si>
  <si>
    <t>Prepaid Expenses - Decrease/(Increase) - Cash Flow</t>
  </si>
  <si>
    <t>Other Assets - Decrease/(Increase) - Cash Flow</t>
  </si>
  <si>
    <t>Accounts Payable - Increase/(Decrease) - Cash Flow</t>
  </si>
  <si>
    <t>Accrued Expenses - Increase/(Decrease) - Cash Flow</t>
  </si>
  <si>
    <t>Other Liabilities - Increase/(Decrease) -Total - Cash Flow</t>
  </si>
  <si>
    <t>Net Cash Flow from Operating Activities</t>
  </si>
  <si>
    <t>Investing Cash Flow</t>
  </si>
  <si>
    <t>Capital Expenditures - Net - Cash Flow</t>
  </si>
  <si>
    <t>Property, Plant &amp; Equipment - Purchased/(Sold) - Net - Cash Flow</t>
  </si>
  <si>
    <t>Property, Plant &amp; Equipment - Purchased - Cash Flow</t>
  </si>
  <si>
    <t>Property, Plant &amp; Equipment Sold - Cash Flow</t>
  </si>
  <si>
    <t>Capital Expenditures - Total</t>
  </si>
  <si>
    <t>Investments excluding Loans - Decrease/(Increase) - Cash Flow</t>
  </si>
  <si>
    <t>Investment Securities - Unclassified - Sold/(Purchased) - Net - Total - Cash Flow</t>
  </si>
  <si>
    <t>Investment Securities - Sold/Matured - Unclassified - Cash Flow</t>
  </si>
  <si>
    <t>Investment Securities - Purchased - Unclassified - Cash Flow</t>
  </si>
  <si>
    <t>Other Investing Cash Flow - Decrease/(Increase)</t>
  </si>
  <si>
    <t>Net Cash Flow from Investing Activities</t>
  </si>
  <si>
    <t>Financing Cash Flow</t>
  </si>
  <si>
    <t>Dividends Paid - Cash - Total - Cash Flow</t>
  </si>
  <si>
    <t>Dividends - Common - Cash Paid</t>
  </si>
  <si>
    <t>Dividends - Preferred - Cash Paid</t>
  </si>
  <si>
    <t>Stock - Total - Issuance/(Retirement) - Net - Cash Flow</t>
  </si>
  <si>
    <t>Stock - Issuance/(Retirement) - Net - Excluding Options/Warrants - Cash Flow</t>
  </si>
  <si>
    <t>Stock - Common - Issuance/(Retirement) - Net - Cash Flow</t>
  </si>
  <si>
    <t>Stock - Common - Issued/Sold - Cash Flow</t>
  </si>
  <si>
    <t>Stock - Preferred - Issuance/(Retirement) - Net - Cash Flow</t>
  </si>
  <si>
    <t>Stock - Preferred - Issued/Sold - Cash Flow</t>
  </si>
  <si>
    <t>Minority Interests &amp; Joint Ventures - Net - Cash Flow</t>
  </si>
  <si>
    <t>Debt - Long-Term &amp; Short-Term - Issuance/(Retirement) - Total - Cash Flow</t>
  </si>
  <si>
    <t>Debt - Issued/(Reduced) - Short-Term - Total - Cash Flow</t>
  </si>
  <si>
    <t>Debt - Issued/(Reduced) - Long-Term - Cash Flow</t>
  </si>
  <si>
    <t>Debt - Issued - Long-Term - Cash Flow</t>
  </si>
  <si>
    <t>Debt - Reduced - Long-Term - Cash Flow</t>
  </si>
  <si>
    <t>Other Financing Cash Flow - Increase/(Decrease)</t>
  </si>
  <si>
    <t>Net Cash Flow from Financing Activities</t>
  </si>
  <si>
    <t>Change in Cash</t>
  </si>
  <si>
    <t>Net Change in Cash - Total</t>
  </si>
  <si>
    <t>Net Cash from Continuing Operations</t>
  </si>
  <si>
    <t>Net Cash - Beginning Balance</t>
  </si>
  <si>
    <t>Net Cash - Ending Balance</t>
  </si>
  <si>
    <t>Supplemental</t>
  </si>
  <si>
    <t>Income Taxes - Paid/(Reimbursed) - Cash Flow - Supplemental</t>
  </si>
  <si>
    <t>Interest Paid - Cash Flow - Supplemental</t>
  </si>
  <si>
    <t>CF from Optg Activities before Change in WC &amp; Int Payments</t>
  </si>
  <si>
    <t>Cash Dividends Paid &amp; Common Stock Buyback - Net</t>
  </si>
  <si>
    <t>Common Stock Buyback - Net</t>
  </si>
  <si>
    <t>Depreciation, Depletion &amp; Amortization - Cash Flow</t>
  </si>
  <si>
    <t>Free Cash Flow to Equity</t>
  </si>
  <si>
    <t>Free Cash Flow Net of Dividends</t>
  </si>
  <si>
    <t>Free Cash Flow</t>
  </si>
  <si>
    <t>Dividends Provided/Paid - Common</t>
  </si>
  <si>
    <t>Company Fundamentals - Balance Sheet</t>
  </si>
  <si>
    <t>Industrial - Differentiated</t>
  </si>
  <si>
    <t>Balance Sheet - Standardized (Currency: Canadian Dollar)</t>
  </si>
  <si>
    <t>Current Assets</t>
  </si>
  <si>
    <t>Cash &amp; Short-Term Investments</t>
  </si>
  <si>
    <t>Cash &amp; Cash Equivalents</t>
  </si>
  <si>
    <t>Derivative Financial Instruments - Hedging - Short-Term</t>
  </si>
  <si>
    <t>Loans &amp; Receivables - Net - Short-Term</t>
  </si>
  <si>
    <t>Trade Accounts &amp; Trade Notes Receivable - Net</t>
  </si>
  <si>
    <t>Trade Accounts &amp; Trade Notes Receivable - Gross</t>
  </si>
  <si>
    <t>Provision - Trade Accounts &amp; Trade Notes Receivable</t>
  </si>
  <si>
    <t>Receivables - Other - Total</t>
  </si>
  <si>
    <t>Inventories - Total</t>
  </si>
  <si>
    <t>Inventories - Raw Materials</t>
  </si>
  <si>
    <t>Prepaid Expenses - Short-Term</t>
  </si>
  <si>
    <t>Assets Held for Sale/Discontinued Operations - Short-Term</t>
  </si>
  <si>
    <t>Other Current Assets - Total</t>
  </si>
  <si>
    <t>Restricted Accounts - Short-Term</t>
  </si>
  <si>
    <t>Other Current Assets</t>
  </si>
  <si>
    <t>Total Current Assets</t>
  </si>
  <si>
    <t>Non-Current Assets</t>
  </si>
  <si>
    <t>Investments - Long-Term</t>
  </si>
  <si>
    <t>Investments - Available for Sale/Held to Maturity - Long-Term</t>
  </si>
  <si>
    <t>Property, Plant &amp; Equipment - Net - Total</t>
  </si>
  <si>
    <t>Property, Plant &amp; Equipment - excluding Assets Leased Out - Net - Total</t>
  </si>
  <si>
    <t>Construction in Progress - Net</t>
  </si>
  <si>
    <t>Right of Use Tangible Assets - Total - Net</t>
  </si>
  <si>
    <t>Right of Use Tangible Assets - Operating Lease - Net</t>
  </si>
  <si>
    <t>Property, Plant &amp; Equipment - Other - Net</t>
  </si>
  <si>
    <t>Utility Plant - Net</t>
  </si>
  <si>
    <t>Property, Plant &amp; Equipment - Gross - Total</t>
  </si>
  <si>
    <t>Property, Plant &amp; Equipment - excluding Assets Leased Out - Gross</t>
  </si>
  <si>
    <t>Construction in Progress - Gross</t>
  </si>
  <si>
    <t>Right of Use Tangible Assets - Total - Gross</t>
  </si>
  <si>
    <t>Right of Use Tangible Assets - Operating Lease - Gross</t>
  </si>
  <si>
    <t>Property, Plant &amp; Equipment - Other - Gross</t>
  </si>
  <si>
    <t>Utility Plant - Gross</t>
  </si>
  <si>
    <t>Property, Plant &amp; Equipment - Accumulated Depreciation &amp; Impairment - Total</t>
  </si>
  <si>
    <t>Property, Plant &amp; Equipment - excluding Assets Leased Out - Accumulated Depreciation &amp; Impairment - Total</t>
  </si>
  <si>
    <t>Right of Use Tangible Assets - Total/Unspecified - Accumulated Depreciation</t>
  </si>
  <si>
    <t>Right of Use Tangible Assets - Operating Lease - Accumulated Depreciation</t>
  </si>
  <si>
    <t>Property, Plant &amp; Equipment - Other - Accumulated Depreciation &amp; Impairment</t>
  </si>
  <si>
    <t>Utility Plant - Accumulated Depreciation &amp; Impairment</t>
  </si>
  <si>
    <t>Assets Held for Sale/Discontinued Operations - Long-Term</t>
  </si>
  <si>
    <t>Other Non-Current Assets - Total</t>
  </si>
  <si>
    <t>Regulatory Assets - Long-Term</t>
  </si>
  <si>
    <t>Other Non-Current Assets</t>
  </si>
  <si>
    <t>Intangible Assets - Total - Net</t>
  </si>
  <si>
    <t>Goodwill/Cost in Excess of Assets Purchased - Net</t>
  </si>
  <si>
    <t>Intangible Assets - excluding Goodwill - Net - Total</t>
  </si>
  <si>
    <t>Licenses, Franchises, Copyrights, Property Rights, Prototypes, Contract Based, Models &amp; Designs - Net</t>
  </si>
  <si>
    <t>Intangible Assets - Other - Net</t>
  </si>
  <si>
    <t>Total Non-Current Assets</t>
  </si>
  <si>
    <t>Total Assets</t>
  </si>
  <si>
    <t>Current Liabilities</t>
  </si>
  <si>
    <t>Trade Accounts Payable &amp; Accruals - Short-Term</t>
  </si>
  <si>
    <t>Trade Accounts &amp; Trade Notes Payable - Short-Term</t>
  </si>
  <si>
    <t>Accrued Expenses - Short-Term</t>
  </si>
  <si>
    <t>Short-Term Debt &amp; Current Portion of Long-Term Debt</t>
  </si>
  <si>
    <t>Short-Term Debt &amp; Notes Payable</t>
  </si>
  <si>
    <t>Current Portion of Long-Term Debt including Capitalized Leases</t>
  </si>
  <si>
    <t>Current Portion of Long-Term Debt excluding Capitalized Leases</t>
  </si>
  <si>
    <t>Capitalized Leases - Current Portion</t>
  </si>
  <si>
    <t>Derivative Liabilities - Hedging - Short-Term</t>
  </si>
  <si>
    <t>Liabilities Held for Sale/Discontinued Operations - Short-Term</t>
  </si>
  <si>
    <t>Income Taxes - Payable - Short-Term</t>
  </si>
  <si>
    <t>Dividends/Distributions Payable</t>
  </si>
  <si>
    <t>Operating Lease Liabilities - Current Portion/Short-Term</t>
  </si>
  <si>
    <t>Other Current Liabilities - Total</t>
  </si>
  <si>
    <t>Security Deposits</t>
  </si>
  <si>
    <t>Other Current Liabilities</t>
  </si>
  <si>
    <t>Total Current Liabilities</t>
  </si>
  <si>
    <t>Non-Current Liabilities</t>
  </si>
  <si>
    <t>Debt - Long-Term - Total</t>
  </si>
  <si>
    <t>Long-Term Debt excluding Capitalized Leases</t>
  </si>
  <si>
    <t>Debt - Non-Convertible - Long-Term</t>
  </si>
  <si>
    <t>Capitalized Lease Obligations - Long-Term</t>
  </si>
  <si>
    <t>Liabilities Held for Sale/Discontinued Operations - Long-Term</t>
  </si>
  <si>
    <t>Deferred Tax &amp; Investment Tax Credits - Long-Term</t>
  </si>
  <si>
    <t>Deferred Tax - Liability - Long-Term</t>
  </si>
  <si>
    <t>Operating Lease Liabilities - Long-Term</t>
  </si>
  <si>
    <t>Other Non-Current Liabilities - Total</t>
  </si>
  <si>
    <t>Provisions - Long-Term</t>
  </si>
  <si>
    <t>Post Employment Benefits - Pension &amp; Other - Long-Term</t>
  </si>
  <si>
    <t>Asset Retirement Obligation - Long-Term</t>
  </si>
  <si>
    <t>Deferred Revenue - Long-Term</t>
  </si>
  <si>
    <t>Regulatory Liabilities - Long-Term</t>
  </si>
  <si>
    <t>Other Non-Current Liabilities</t>
  </si>
  <si>
    <t>Total Non-Current Liabilities</t>
  </si>
  <si>
    <t>Total Liabilities</t>
  </si>
  <si>
    <t>Shareholders' Equity</t>
  </si>
  <si>
    <t>Shareholders' Equity - Attributable to Parent Shareholders - Total</t>
  </si>
  <si>
    <t>Preferred Shareholders Equity</t>
  </si>
  <si>
    <t>Preferred Stock - Non-Redeemable</t>
  </si>
  <si>
    <t>Preferred Stock - Convertible - Non-Redeemable</t>
  </si>
  <si>
    <t>Common Equity Attributable to Parent Shareholders</t>
  </si>
  <si>
    <t>Common Equity - Contributed</t>
  </si>
  <si>
    <t>Common Stock - Issued &amp; Paid</t>
  </si>
  <si>
    <t>Common Stock - Additional Paid in Capital including Option Reserve</t>
  </si>
  <si>
    <t>Equity - Non-Contributed - Reserves &amp; Retained Earnings</t>
  </si>
  <si>
    <t>Retained Earnings - Total</t>
  </si>
  <si>
    <t>Comprehensive Income - Accumulated - Total</t>
  </si>
  <si>
    <t>Investments - Unrealized Gain/Loss</t>
  </si>
  <si>
    <t>Hedging Reserves</t>
  </si>
  <si>
    <t>Comprehensive Income - Pension Liabilities</t>
  </si>
  <si>
    <t>Common Equity - Total</t>
  </si>
  <si>
    <t>Minority Interest - Equity</t>
  </si>
  <si>
    <t>Total Shareholders' Equity</t>
  </si>
  <si>
    <t>Total Shareholders' Equity - including Minority Interest &amp; Hybrid Debt</t>
  </si>
  <si>
    <t>Total Liabilities &amp; Shareholders' Equity</t>
  </si>
  <si>
    <t>Total Liabilities &amp; Equity</t>
  </si>
  <si>
    <t>Share/Per Share - Common</t>
  </si>
  <si>
    <t>Common Shares - Issued - Total</t>
  </si>
  <si>
    <t>Common Shares - Treasury - Total</t>
  </si>
  <si>
    <t>Common Shares - Authorized - Issue Specific</t>
  </si>
  <si>
    <t>Common Shares - Issued - Issue Specific</t>
  </si>
  <si>
    <t>Common Shares - Outstanding - Issue Specific</t>
  </si>
  <si>
    <t>Common Shares - Treasury - Issue Specific</t>
  </si>
  <si>
    <t>Share/Per Share - Preferred</t>
  </si>
  <si>
    <t>Preferred Shares - Authorized - Issue Specific</t>
  </si>
  <si>
    <t>Preferred Shares - Issued - Issue Specific</t>
  </si>
  <si>
    <t>Preferred Shares - Outstanding - Issue Specific</t>
  </si>
  <si>
    <t>Preferred Shares - Treasury - Issue Specific</t>
  </si>
  <si>
    <t>Share/Per Share - Other</t>
  </si>
  <si>
    <t>Asset Allocation Factor - Issue Specific</t>
  </si>
  <si>
    <t>Right of Use Tangible Assets</t>
  </si>
  <si>
    <t>Right of Use Tangible Assets - Total - Net - Supplemental</t>
  </si>
  <si>
    <t>Right of Use Tangible Assets - Operating Lease - Net - Supplemental</t>
  </si>
  <si>
    <t>Right of Use Tangible Assets - Capital/Finance Lease - Net - Supplemental</t>
  </si>
  <si>
    <t>Right of Use Tangible Assets - Total - Gross - Supplemental</t>
  </si>
  <si>
    <t>Right of Use Tangible Assets - Operating Lease - Gross - Supplemental</t>
  </si>
  <si>
    <t>Right of Use Tangible Assets - Capital/Finance Lease - Gross - Supplemental</t>
  </si>
  <si>
    <t>Right of Use Tangible Assets - Total - Accumulated Depreciation - Supplemental</t>
  </si>
  <si>
    <t>Right of Use Tangible Assets - Operating Lease - Accumulated Depreciation - Supplemental</t>
  </si>
  <si>
    <t>Right of Use Tangible Assets - Capital/Finance Lease - Accumulated Depreciation - Supplemental</t>
  </si>
  <si>
    <t>Property, Plant &amp; Equipment - excluding Right of Use Tangible Assets &amp; Capital Leases - Net</t>
  </si>
  <si>
    <t>Property, Plant &amp; Equipment - excluding Right of Use Tangible Assets &amp; Capital Leases - Gross</t>
  </si>
  <si>
    <t>Property, Plant &amp; Equipment - excluding Right of Use Tangible Assets &amp; Capital Leases - Accumulated Depreciation</t>
  </si>
  <si>
    <t>Right of Use Liabilities</t>
  </si>
  <si>
    <t>Total Operating Lease Liabilities</t>
  </si>
  <si>
    <t>Operating Lease Liabilities - Current Portion/Short-Term - Supplemental</t>
  </si>
  <si>
    <t>Operating Lease Liabilities - Long-Term - Supplemental</t>
  </si>
  <si>
    <t>Finance and Operating Lease Liabilities - Total</t>
  </si>
  <si>
    <t>Debt including Finance and Operating Lease Liabilities</t>
  </si>
  <si>
    <t>Long-Term &amp; Short-Term</t>
  </si>
  <si>
    <t>Derivative Financial Instruments - Hedging - Total</t>
  </si>
  <si>
    <t>Investments - Total</t>
  </si>
  <si>
    <t>Loans &amp; Receivables - Total</t>
  </si>
  <si>
    <t>Accounts &amp; Notes Receivable - Trade - Gross - Total</t>
  </si>
  <si>
    <t>Assets Held for Sale/Discontinued Operations - Long-Term &amp; Short-Term</t>
  </si>
  <si>
    <t>Other Assets - Total</t>
  </si>
  <si>
    <t>Income Taxes - Payable - Long-Term &amp; Short-Term</t>
  </si>
  <si>
    <t>Dividends Payable</t>
  </si>
  <si>
    <t>Payables &amp; Accrued Expenses</t>
  </si>
  <si>
    <t>Trade Account Payables - Total</t>
  </si>
  <si>
    <t>Accrued Expenses</t>
  </si>
  <si>
    <t>Derivative Liabilities - Hedging</t>
  </si>
  <si>
    <t>Liabilities Held for Sale/Discontinued Operations - Long-term &amp; Short-Term</t>
  </si>
  <si>
    <t>Debt Related</t>
  </si>
  <si>
    <t>Net Debt</t>
  </si>
  <si>
    <t>Debt - Total</t>
  </si>
  <si>
    <t>Revolving Line of Credit - Unutilized/Unused Amount</t>
  </si>
  <si>
    <t>Revolving Line of Credit - Total Principal Amount</t>
  </si>
  <si>
    <t>Debt Maturity</t>
  </si>
  <si>
    <t>Debt - Long-Term - Maturities - Total</t>
  </si>
  <si>
    <t>Debt - Long-Term - Maturities - within 1 Year</t>
  </si>
  <si>
    <t>Debt - Long-Term - Maturities - Year 2</t>
  </si>
  <si>
    <t>Debt - Long-Term - Maturities - Year 3</t>
  </si>
  <si>
    <t>Debt - Long-Term - Maturities - Year 4</t>
  </si>
  <si>
    <t>Debt - Long-Term - Maturities - Year 5</t>
  </si>
  <si>
    <t>Debt - Long-Term - Maturities - Remaining</t>
  </si>
  <si>
    <t>Debt - Long-Term - Maturities - 2-3 Years</t>
  </si>
  <si>
    <t>Debt - Long-Term - Maturities - 4-5 Years</t>
  </si>
  <si>
    <t>Debt - Long-Term - Maturities - Year 6 &amp; Beyond</t>
  </si>
  <si>
    <t>Capital Lease Maturity</t>
  </si>
  <si>
    <t>Capital Lease Maturities - Total</t>
  </si>
  <si>
    <t>Capital Lease Maturities - Due within 1 Year</t>
  </si>
  <si>
    <t>Capital Lease Maturities - Due in Year 2</t>
  </si>
  <si>
    <t>Capital Lease Maturities - Due in Year 3</t>
  </si>
  <si>
    <t>Capital Lease Maturities - Due in Year 4</t>
  </si>
  <si>
    <t>Capital Lease Maturities - Due in Year 5</t>
  </si>
  <si>
    <t>Capital Lease Maturities - Remaining Maturities</t>
  </si>
  <si>
    <t>Capital Lease Maturities - Interest Costs</t>
  </si>
  <si>
    <t>Capital Lease Maturities - Due in 2-3 Years</t>
  </si>
  <si>
    <t>Capital Lease Maturities - Due in 4-5 Years</t>
  </si>
  <si>
    <t>Capital Lease Maturities - Due in Year 6 &amp; Beyond</t>
  </si>
  <si>
    <t>Weighted Average Leases</t>
  </si>
  <si>
    <t>Wgt Avg Remaining Lease Term (Years)-Operating Lease-US GAAP</t>
  </si>
  <si>
    <t>Wgt Avg Remaining Lease Term (Years) - Finance Lease</t>
  </si>
  <si>
    <t>Weighted Average Discount Rate - Operating Lease - US GAAP</t>
  </si>
  <si>
    <t>Weighted Average Discount Rate - Finance Lease</t>
  </si>
  <si>
    <t>Minority Interest - Total</t>
  </si>
  <si>
    <t>Accruals - Short-Term</t>
  </si>
  <si>
    <t>Asset Accruals</t>
  </si>
  <si>
    <t>Cash &amp; Cash Equivalents - Total</t>
  </si>
  <si>
    <t>Cash &amp; Short Term Investments - Total</t>
  </si>
  <si>
    <t>Debt - including Preferred Equity &amp; Minority Interest - Total</t>
  </si>
  <si>
    <t>Investments - Permanent</t>
  </si>
  <si>
    <t>Net Book Capital</t>
  </si>
  <si>
    <t>Net Operating Assets</t>
  </si>
  <si>
    <t>Provisions - Total</t>
  </si>
  <si>
    <t>Shareholders Equity - Common</t>
  </si>
  <si>
    <t>Tangible Total Equity</t>
  </si>
  <si>
    <t>Tangible Book Value</t>
  </si>
  <si>
    <t>Total Book Capital</t>
  </si>
  <si>
    <t>Total Capital</t>
  </si>
  <si>
    <t>Total Long Term Capital</t>
  </si>
  <si>
    <t>Total Fixed Assets - Net</t>
  </si>
  <si>
    <t>Unearned Revenue - Total</t>
  </si>
  <si>
    <t>Working Capital</t>
  </si>
  <si>
    <t>Working Capital - Non-Cash</t>
  </si>
  <si>
    <t>Working Capital excluding Other Current Assets &amp; Liabilities</t>
  </si>
  <si>
    <t>Book Value excluding Other Equity</t>
  </si>
  <si>
    <t>Shareholders</t>
  </si>
  <si>
    <t>Common Shareholders - Number</t>
  </si>
  <si>
    <t>Operating Lease Maturity</t>
  </si>
  <si>
    <t>Operating Lease Payments - Total</t>
  </si>
  <si>
    <t>Operating Lease Payments - Due in Year 1</t>
  </si>
  <si>
    <t>Operating Lease Payments - Due in Year 2</t>
  </si>
  <si>
    <t>Operating Lease Payments - Due in Year 3</t>
  </si>
  <si>
    <t>Operating Lease Payments - Due in Year 4</t>
  </si>
  <si>
    <t>Operating Lease Payments - Due in Year 5</t>
  </si>
  <si>
    <t>Operating Lease Payments - Remaining Maturities</t>
  </si>
  <si>
    <t>Operating Lease Payments - Interest Cost/Imputed Interest</t>
  </si>
  <si>
    <t>Operating Lease Payments - Due in 2-3 Years</t>
  </si>
  <si>
    <t>Operating Lease Payments - Due in 4-5 Years</t>
  </si>
  <si>
    <t>Operating Lease Payments - Due in Year 6 &amp; Beyond</t>
  </si>
  <si>
    <t>Employees</t>
  </si>
  <si>
    <t>Employees - Full-Time/Full-Time Equivalents - Period End</t>
  </si>
  <si>
    <t>Employees - Full-Time/Full-Time Equivalents - Current Date</t>
  </si>
  <si>
    <t>Company Fundamentals - Valuation</t>
  </si>
  <si>
    <t>Valuation - Standardized (Currency: Canadian Dollar)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</si>
  <si>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</si>
  <si>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</si>
  <si>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</si>
  <si>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</si>
  <si>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</si>
  <si>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</si>
  <si>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</si>
  <si>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</si>
  <si>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</si>
  <si>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</si>
  <si>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</si>
  <si>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%, 5 Year Average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</si>
  <si>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</si>
  <si>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</si>
  <si>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</si>
  <si>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</si>
  <si>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</si>
  <si>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</si>
  <si>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</si>
  <si>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</si>
  <si>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</si>
  <si>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</si>
  <si>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</si>
  <si>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</si>
  <si>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</si>
  <si>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</si>
  <si>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</si>
  <si>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</si>
  <si>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</si>
  <si>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</si>
  <si>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</si>
  <si>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</si>
  <si>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</si>
  <si>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</si>
  <si>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</si>
  <si>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</si>
  <si>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</si>
  <si>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</si>
  <si>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</si>
  <si>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</si>
  <si>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</si>
  <si>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</si>
  <si>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</si>
  <si>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</si>
  <si>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</si>
  <si>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</si>
  <si>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</si>
  <si>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</si>
  <si>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</si>
  <si>
    <t>Revenue Forecast</t>
  </si>
  <si>
    <t>Historical</t>
  </si>
  <si>
    <t>Forecast</t>
  </si>
  <si>
    <t>Cost Forecast</t>
    <phoneticPr fontId="17" type="noConversion"/>
  </si>
  <si>
    <t>CapEx</t>
  </si>
  <si>
    <t>Year</t>
  </si>
  <si>
    <t>Revenue growth by Segement  (CAGR)</t>
  </si>
  <si>
    <t>2025E</t>
  </si>
  <si>
    <t>2026E</t>
  </si>
  <si>
    <t>2027E</t>
  </si>
  <si>
    <t>2028E</t>
  </si>
  <si>
    <t>2029E</t>
  </si>
  <si>
    <t>Cost growth  (CAGR)</t>
  </si>
  <si>
    <t>Cost Items</t>
  </si>
  <si>
    <t>growth rate</t>
    <phoneticPr fontId="8" type="noConversion"/>
  </si>
  <si>
    <t>Net Working Capital</t>
    <phoneticPr fontId="8" type="noConversion"/>
  </si>
  <si>
    <t>Operating CA = AR+Inv+Prepaid+OCA</t>
  </si>
  <si>
    <t>Operating CL = AP+Acc+OCL</t>
  </si>
  <si>
    <t>Operating NWC</t>
  </si>
  <si>
    <t>Utility Cost of Revenue - Fuel Expense</t>
    <phoneticPr fontId="8" type="noConversion"/>
  </si>
  <si>
    <t>Growth rote</t>
    <phoneticPr fontId="8" type="noConversion"/>
  </si>
  <si>
    <t>Revenue</t>
  </si>
  <si>
    <t>Operating NWC (3% of Rev)</t>
  </si>
  <si>
    <t>WACC</t>
  </si>
  <si>
    <t>Total Value of Equity</t>
  </si>
  <si>
    <t>Total Value of Preference Shares</t>
    <phoneticPr fontId="17" type="noConversion"/>
  </si>
  <si>
    <t>Total Value of Debt</t>
  </si>
  <si>
    <t>Share Price</t>
  </si>
  <si>
    <t>Outstanding Shares</t>
  </si>
  <si>
    <t>Total Revenue</t>
  </si>
  <si>
    <t>TVE</t>
  </si>
  <si>
    <t>TVP</t>
  </si>
  <si>
    <t>TVD</t>
  </si>
  <si>
    <t>Revenue growth</t>
    <phoneticPr fontId="8" type="noConversion"/>
  </si>
  <si>
    <t xml:space="preserve">Total Market Value </t>
  </si>
  <si>
    <t>Total Expenses of Operating</t>
  </si>
  <si>
    <t>Cost of Equity</t>
  </si>
  <si>
    <t>Depreciation and amortization</t>
  </si>
  <si>
    <t>Cost of Debt</t>
  </si>
  <si>
    <t>EBITDA</t>
  </si>
  <si>
    <t>Interest Expenses</t>
  </si>
  <si>
    <t>EBITDA Margin</t>
    <phoneticPr fontId="8" type="noConversion"/>
  </si>
  <si>
    <t>Value of Debt</t>
  </si>
  <si>
    <t>EBIT</t>
  </si>
  <si>
    <t>Effective Tax Rate</t>
  </si>
  <si>
    <t>EBIT Margin</t>
  </si>
  <si>
    <t>Tax Expense</t>
  </si>
  <si>
    <t>EBIT*(1-Tax Rate)</t>
  </si>
  <si>
    <t>Cost of Preference Shares</t>
  </si>
  <si>
    <t>(Plus)D&amp;A</t>
  </si>
  <si>
    <t>DPS for PS</t>
  </si>
  <si>
    <t>(less)changes in working capital</t>
  </si>
  <si>
    <t>(less)Capex</t>
  </si>
  <si>
    <t>Unlevered  Free cash flow of firm</t>
  </si>
  <si>
    <t xml:space="preserve">Tax Rate </t>
    <phoneticPr fontId="17" type="noConversion"/>
  </si>
  <si>
    <t xml:space="preserve">After-tax cost of debt </t>
    <phoneticPr fontId="17" type="noConversion"/>
  </si>
  <si>
    <t>Current WACC</t>
  </si>
  <si>
    <t xml:space="preserve">Cost of Equity </t>
    <phoneticPr fontId="17" type="noConversion"/>
  </si>
  <si>
    <t>Present value (5-year CF)</t>
  </si>
  <si>
    <t xml:space="preserve">Net debt </t>
    <phoneticPr fontId="17" type="noConversion"/>
  </si>
  <si>
    <t>Value of Preference Shares</t>
    <phoneticPr fontId="17" type="noConversion"/>
  </si>
  <si>
    <t>Share price calculation</t>
  </si>
  <si>
    <t xml:space="preserve">Market value of equity </t>
    <phoneticPr fontId="17" type="noConversion"/>
  </si>
  <si>
    <t>Perpetual growth rate</t>
    <phoneticPr fontId="17" type="noConversion"/>
  </si>
  <si>
    <t xml:space="preserve">Enterprise value </t>
    <phoneticPr fontId="17" type="noConversion"/>
  </si>
  <si>
    <t>Terminal Value</t>
  </si>
  <si>
    <t xml:space="preserve">WACC </t>
    <phoneticPr fontId="17" type="noConversion"/>
  </si>
  <si>
    <t>Implied EV/EBITDA</t>
  </si>
  <si>
    <t>Present value of terminal value</t>
  </si>
  <si>
    <t>Total debt</t>
  </si>
  <si>
    <t>Cash</t>
  </si>
  <si>
    <t>Net Debt/ Net Cash</t>
  </si>
  <si>
    <t>Minority interest</t>
  </si>
  <si>
    <t>Equity Value</t>
  </si>
  <si>
    <t>Number of share outstanding</t>
  </si>
  <si>
    <t>indicated per share price (CAD)</t>
  </si>
  <si>
    <t>Total Dividends</t>
  </si>
  <si>
    <t>Growth Rate</t>
  </si>
  <si>
    <t>Dividend at end of 2025</t>
  </si>
  <si>
    <t>2025(Est)</t>
  </si>
  <si>
    <t>Stage 1  growth rate (2025–2029)</t>
  </si>
  <si>
    <t>Dividend at end of 2026</t>
  </si>
  <si>
    <t>year</t>
    <phoneticPr fontId="8" type="noConversion"/>
  </si>
  <si>
    <t>Dividend</t>
    <phoneticPr fontId="8" type="noConversion"/>
  </si>
  <si>
    <t>Stage 2  growth rate (beyond 2029)</t>
  </si>
  <si>
    <t>Dividend at end of 2027</t>
  </si>
  <si>
    <t>Dividend at end of 2028</t>
  </si>
  <si>
    <t>Dividend at end of 2029</t>
  </si>
  <si>
    <t>Risk-free Rate</t>
    <phoneticPr fontId="17" type="noConversion"/>
  </si>
  <si>
    <t>Terminal Value (TV) at Year 2028</t>
    <phoneticPr fontId="17" type="noConversion"/>
  </si>
  <si>
    <t xml:space="preserve">10 YEAR CAD BOND </t>
  </si>
  <si>
    <t>D2029/(Re-g2)</t>
  </si>
  <si>
    <t>Price 2025</t>
    <phoneticPr fontId="17" type="noConversion"/>
  </si>
  <si>
    <t>Market Return : Rm</t>
    <phoneticPr fontId="17" type="noConversion"/>
  </si>
  <si>
    <t>30 Year Annualized S&amp;P 500 Return (Dividends Reinvested)</t>
  </si>
  <si>
    <t>20 Year Annualized S&amp;P 500 Return (Dividends Reinvested)</t>
  </si>
  <si>
    <t>Rm average</t>
  </si>
  <si>
    <t>Beta</t>
    <phoneticPr fontId="17" type="noConversion"/>
  </si>
  <si>
    <t>Discount Raate</t>
    <phoneticPr fontId="17" type="noConversion"/>
  </si>
  <si>
    <t>CAPM : Re = Rf + B (Rm-Rf)</t>
  </si>
  <si>
    <t>Company Name</t>
    <phoneticPr fontId="8" type="noConversion"/>
  </si>
  <si>
    <t>EV / EBITDA</t>
    <phoneticPr fontId="31" type="noConversion"/>
  </si>
  <si>
    <t xml:space="preserve">Price / EPS </t>
    <phoneticPr fontId="31" type="noConversion"/>
  </si>
  <si>
    <t>Price / Cash Flow Per Share</t>
    <phoneticPr fontId="31" type="noConversion"/>
  </si>
  <si>
    <t>FirstEnergy Corp</t>
  </si>
  <si>
    <t>American Electric Power Company Inc</t>
  </si>
  <si>
    <t>Nextera Energy Inc</t>
  </si>
  <si>
    <t>Southern Co</t>
  </si>
  <si>
    <t>Duke Energy Corp</t>
  </si>
  <si>
    <t>Public Service Enterprise Group Inc</t>
  </si>
  <si>
    <t>Dominion Energy Inc</t>
  </si>
  <si>
    <t>Average</t>
    <phoneticPr fontId="31" type="noConversion"/>
  </si>
  <si>
    <t>Cash Ratio</t>
  </si>
  <si>
    <t>DE</t>
  </si>
  <si>
    <t>FE History     Yearly     10 Years</t>
  </si>
  <si>
    <t>DA</t>
  </si>
  <si>
    <t>Exchange Date</t>
  </si>
  <si>
    <t>Close</t>
  </si>
  <si>
    <t>Price Earning Ratio</t>
  </si>
  <si>
    <t>EPS</t>
  </si>
  <si>
    <t>Dividend Yield (%)</t>
  </si>
  <si>
    <t>INCOME STATEMENT -COMMON SIZING</t>
  </si>
  <si>
    <t>Cost of Sales</t>
  </si>
  <si>
    <t>Gross Profit</t>
  </si>
  <si>
    <t>Total Expenses</t>
  </si>
  <si>
    <t>Return on Average Total Assets</t>
  </si>
  <si>
    <t>FE</t>
  </si>
  <si>
    <t> </t>
  </si>
  <si>
    <t>Income Tax</t>
  </si>
  <si>
    <t>BALANCE SHEET -COMMON SIZING</t>
  </si>
  <si>
    <t>Cash &amp; Cash Equivalent</t>
  </si>
  <si>
    <t>Receivables</t>
  </si>
  <si>
    <t>Inventory</t>
  </si>
  <si>
    <t>Account Payables</t>
  </si>
  <si>
    <t>Years</t>
  </si>
  <si>
    <t xml:space="preserve">Return on Average Total Assets </t>
  </si>
  <si>
    <t>AR Turnover</t>
  </si>
  <si>
    <t>AR Collection Days</t>
  </si>
  <si>
    <t>Source: Refinitiv</t>
  </si>
  <si>
    <t>INDUSTRY 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</si>
</sst>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#,##0.00_);[Red]\(&quot;$&quot;#,##0.00\)"/>
    <numFmt numFmtId="165" formatCode="&quot;¥&quot;#,##0.00;[Red]&quot;¥&quot;\-#,##0.00"/>
    <numFmt numFmtId="166" formatCode="dd\-mm\-yyyy"/>
    <numFmt numFmtId="167" formatCode="[&gt;=100]##,##0.0\%;[&lt;=-100]\-##,##0.0\%;##,##0.0\%"/>
    <numFmt numFmtId="168" formatCode="#,##0.0"/>
    <numFmt numFmtId="169" formatCode="&quot;$&quot;#,##0.0000_);[Red]\(&quot;$&quot;#,##0.0000\)"/>
    <numFmt numFmtId="170" formatCode="0.00_ "/>
  </numFmts>
  <fonts count="5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F5475B"/>
      <name val="Calibri"/>
      <family val="2"/>
    </font>
    <font>
      <sz val="9"/>
      <name val="FangSong"/>
      <family val="3"/>
      <charset val="134"/>
    </font>
    <font>
      <b/>
      <sz val="14"/>
      <color rgb="FFFFFFFF"/>
      <name val="Times New Roman"/>
      <family val="1"/>
    </font>
    <font>
      <b/>
      <sz val="14"/>
      <color theme="3"/>
      <name val="Times New Roman"/>
      <family val="1"/>
    </font>
    <font>
      <b/>
      <sz val="10"/>
      <color rgb="FFFFFFFF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Calibri"/>
      <family val="2"/>
    </font>
    <font>
      <u/>
      <sz val="11"/>
      <color theme="10"/>
      <name val="Calibri"/>
      <family val="2"/>
    </font>
    <font>
      <b/>
      <sz val="11"/>
      <color rgb="FF000000"/>
      <name val="Microsoft YaHei"/>
      <family val="2"/>
      <charset val="134"/>
    </font>
    <font>
      <sz val="11"/>
      <color theme="1"/>
      <name val="Calibri"/>
      <family val="2"/>
    </font>
    <font>
      <sz val="9"/>
      <name val="Calibri"/>
      <family val="2"/>
    </font>
    <font>
      <sz val="11"/>
      <color rgb="FF000000"/>
      <name val="等线"/>
      <family val="3"/>
      <charset val="134"/>
    </font>
    <font>
      <sz val="14"/>
      <color theme="0"/>
      <name val="Times New Roman"/>
      <family val="1"/>
    </font>
    <font>
      <b/>
      <sz val="11"/>
      <color rgb="FF000000"/>
      <name val="Times New Roman"/>
      <family val="1"/>
    </font>
    <font>
      <b/>
      <sz val="14"/>
      <color rgb="FF000000"/>
      <name val="Times New Roman"/>
      <family val="1"/>
    </font>
    <font>
      <b/>
      <sz val="12"/>
      <color rgb="FFFF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Calibri"/>
      <family val="2"/>
    </font>
    <font>
      <sz val="12"/>
      <color theme="0"/>
      <name val="Times New Roman"/>
      <family val="1"/>
    </font>
    <font>
      <b/>
      <sz val="12"/>
      <color theme="0"/>
      <name val="Times New Roman"/>
      <family val="1"/>
    </font>
    <font>
      <sz val="11"/>
      <color theme="0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9"/>
      <color theme="1"/>
      <name val="Times New Roman"/>
      <family val="1"/>
    </font>
    <font>
      <sz val="9"/>
      <name val="宋体"/>
      <family val="3"/>
      <charset val="134"/>
    </font>
    <font>
      <sz val="10"/>
      <color rgb="FF000000"/>
      <name val="Times New Roman"/>
      <family val="1"/>
    </font>
    <font>
      <sz val="11"/>
      <color rgb="FFFF0000"/>
      <name val="Calibri"/>
      <family val="2"/>
    </font>
    <font>
      <sz val="11"/>
      <color rgb="FF000000"/>
      <name val="Aptos Narrow"/>
      <family val="2"/>
    </font>
    <font>
      <sz val="12"/>
      <color rgb="FF000000"/>
      <name val="Aptos"/>
    </font>
    <font>
      <i/>
      <sz val="9"/>
      <color rgb="FF000000"/>
      <name val="Times New Roman"/>
      <family val="1"/>
    </font>
    <font>
      <b/>
      <i/>
      <sz val="12"/>
      <color rgb="FF000000"/>
      <name val="Aptos"/>
    </font>
    <font>
      <b/>
      <i/>
      <sz val="9"/>
      <color rgb="FF000000"/>
      <name val="Times New Roman"/>
      <family val="1"/>
    </font>
    <font>
      <sz val="9"/>
      <color rgb="FF000000"/>
      <name val="Times New Roman"/>
      <family val="1"/>
    </font>
    <font>
      <b/>
      <i/>
      <sz val="8"/>
      <color rgb="FF000000"/>
      <name val="Times New Roman"/>
      <family val="1"/>
    </font>
    <font>
      <b/>
      <sz val="14"/>
      <color theme="3"/>
      <name val="Cambria"/>
      <family val="1"/>
      <scheme val="major"/>
    </font>
    <font>
      <sz val="11"/>
      <color rgb="FF000000"/>
      <name val="Cambria"/>
      <family val="1"/>
      <scheme val="major"/>
    </font>
    <font>
      <b/>
      <sz val="10"/>
      <color rgb="FF000000"/>
      <name val="Cambria"/>
      <family val="1"/>
      <scheme val="major"/>
    </font>
    <font>
      <b/>
      <sz val="11"/>
      <color rgb="FF000000"/>
      <name val="Cambria"/>
      <family val="1"/>
      <scheme val="major"/>
    </font>
    <font>
      <sz val="12"/>
      <color rgb="FF000000"/>
      <name val="Cambria"/>
      <family val="1"/>
      <scheme val="major"/>
    </font>
    <font>
      <b/>
      <i/>
      <sz val="9"/>
      <name val="Times New Roman"/>
      <family val="1"/>
    </font>
    <font>
      <sz val="9"/>
      <name val="Times New Roman"/>
      <family val="1"/>
    </font>
    <font>
      <b/>
      <sz val="10"/>
      <color theme="1"/>
      <name val="Calibri"/>
      <family val="2"/>
    </font>
    <font>
      <sz val="10"/>
      <color indexed="8"/>
      <name val="Calibri"/>
      <family val="2"/>
    </font>
    <font>
      <sz val="10"/>
      <color indexed="29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A6A6A6"/>
        <bgColor rgb="FFA6A6A6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DAF2D0"/>
        <bgColor rgb="FF000000"/>
      </patternFill>
    </fill>
  </fills>
  <borders count="45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D5D8DB"/>
      </right>
      <top style="thin">
        <color rgb="FFD5D8DB"/>
      </top>
      <bottom style="thin">
        <color rgb="FFD5D8DB"/>
      </bottom>
      <diagonal/>
    </border>
    <border>
      <left style="thin">
        <color rgb="FFD5D8DB"/>
      </left>
      <right style="thin">
        <color rgb="FFD5D8DB"/>
      </right>
      <top/>
      <bottom style="thin">
        <color rgb="FFD5D8DB"/>
      </bottom>
      <diagonal/>
    </border>
    <border>
      <left/>
      <right style="thin">
        <color rgb="FFD5D8DB"/>
      </right>
      <top/>
      <bottom style="thin">
        <color rgb="FFD5D8DB"/>
      </bottom>
      <diagonal/>
    </border>
    <border>
      <left/>
      <right/>
      <top style="thick">
        <color indexed="64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/>
      <right style="medium">
        <color rgb="FF7F7F7F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medium">
        <color rgb="FF7F7F7F"/>
      </right>
      <top style="medium">
        <color rgb="FF7F7F7F"/>
      </top>
      <bottom/>
      <diagonal/>
    </border>
    <border>
      <left style="medium">
        <color rgb="FF000000"/>
      </left>
      <right style="medium">
        <color rgb="FF4EA72E"/>
      </right>
      <top style="medium">
        <color rgb="FF000000"/>
      </top>
      <bottom style="medium">
        <color rgb="FF7F7F7F"/>
      </bottom>
      <diagonal/>
    </border>
    <border>
      <left/>
      <right style="medium">
        <color rgb="FF7F7F7F"/>
      </right>
      <top style="medium">
        <color rgb="FF4EA72E"/>
      </top>
      <bottom style="medium">
        <color rgb="FF4EA72E"/>
      </bottom>
      <diagonal/>
    </border>
    <border>
      <left/>
      <right style="medium">
        <color rgb="FF7F7F7F"/>
      </right>
      <top style="medium">
        <color rgb="FF4EA72E"/>
      </top>
      <bottom style="medium">
        <color rgb="FF000000"/>
      </bottom>
      <diagonal/>
    </border>
    <border>
      <left style="medium">
        <color rgb="FF4EA72E"/>
      </left>
      <right style="medium">
        <color rgb="FF4EA72E"/>
      </right>
      <top/>
      <bottom style="medium">
        <color rgb="FF7F7F7F"/>
      </bottom>
      <diagonal/>
    </border>
    <border>
      <left/>
      <right style="medium">
        <color rgb="FF4EA72E"/>
      </right>
      <top/>
      <bottom style="medium">
        <color rgb="FF4EA72E"/>
      </bottom>
      <diagonal/>
    </border>
    <border>
      <left/>
      <right style="medium">
        <color rgb="FF4EA72E"/>
      </right>
      <top/>
      <bottom style="medium">
        <color rgb="FF000000"/>
      </bottom>
      <diagonal/>
    </border>
    <border>
      <left style="medium">
        <color rgb="FF4EA72E"/>
      </left>
      <right style="medium">
        <color rgb="FF000000"/>
      </right>
      <top/>
      <bottom style="medium">
        <color rgb="FF7F7F7F"/>
      </bottom>
      <diagonal/>
    </border>
    <border>
      <left/>
      <right style="medium">
        <color rgb="FF000000"/>
      </right>
      <top/>
      <bottom style="medium">
        <color rgb="FF4EA72E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7F7F7F"/>
      </bottom>
      <diagonal/>
    </border>
    <border>
      <left/>
      <right/>
      <top style="thin">
        <color rgb="FF000000"/>
      </top>
      <bottom style="thin">
        <color rgb="FF7F7F7F"/>
      </bottom>
      <diagonal/>
    </border>
    <border>
      <left/>
      <right style="thin">
        <color rgb="FF000000"/>
      </right>
      <top style="thin">
        <color rgb="FF000000"/>
      </top>
      <bottom style="thin">
        <color rgb="FF7F7F7F"/>
      </bottom>
      <diagonal/>
    </border>
    <border>
      <left style="thin">
        <color rgb="FF000000"/>
      </left>
      <right style="thin">
        <color rgb="FF7F7F7F"/>
      </right>
      <top/>
      <bottom/>
      <diagonal/>
    </border>
    <border>
      <left style="thin">
        <color rgb="FF000000"/>
      </left>
      <right style="thin">
        <color rgb="FF7F7F7F"/>
      </right>
      <top/>
      <bottom style="thin">
        <color rgb="FF000000"/>
      </bottom>
      <diagonal/>
    </border>
  </borders>
  <cellStyleXfs count="2">
    <xf numFmtId="0" fontId="0" fillId="0" borderId="0" applyNumberFormat="0" applyBorder="0" applyAlignment="0"/>
    <xf numFmtId="0" fontId="14" fillId="0" borderId="0" applyNumberFormat="0" applyFill="0" applyBorder="0" applyAlignment="0" applyProtection="0"/>
  </cellStyleXfs>
  <cellXfs count="232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6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167" fontId="6" fillId="0" borderId="3" xfId="0" applyNumberFormat="1" applyFont="1" applyBorder="1" applyAlignment="1">
      <alignment horizontal="right" vertical="center" wrapText="1"/>
    </xf>
    <xf numFmtId="3" fontId="6" fillId="0" borderId="3" xfId="0" applyNumberFormat="1" applyFont="1" applyBorder="1" applyAlignment="1">
      <alignment horizontal="right" vertical="center" wrapText="1"/>
    </xf>
    <xf numFmtId="4" fontId="6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2"/>
    </xf>
    <xf numFmtId="0" fontId="3" fillId="0" borderId="3" xfId="0" applyFont="1" applyBorder="1" applyAlignment="1">
      <alignment horizontal="left" vertical="center" wrapText="1" indent="4"/>
    </xf>
    <xf numFmtId="0" fontId="5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 indent="6"/>
    </xf>
    <xf numFmtId="168" fontId="6" fillId="0" borderId="3" xfId="0" applyNumberFormat="1" applyFont="1" applyBorder="1" applyAlignment="1">
      <alignment horizontal="right" vertical="center" wrapText="1"/>
    </xf>
    <xf numFmtId="168" fontId="7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8"/>
    </xf>
    <xf numFmtId="4" fontId="7" fillId="0" borderId="3" xfId="0" applyNumberFormat="1" applyFont="1" applyBorder="1" applyAlignment="1">
      <alignment horizontal="right" vertical="center" wrapText="1"/>
    </xf>
    <xf numFmtId="167" fontId="3" fillId="0" borderId="3" xfId="0" applyNumberFormat="1" applyFont="1" applyBorder="1" applyAlignment="1">
      <alignment horizontal="right" vertical="center" wrapText="1"/>
    </xf>
    <xf numFmtId="168" fontId="3" fillId="0" borderId="3" xfId="0" applyNumberFormat="1" applyFont="1" applyBorder="1" applyAlignment="1">
      <alignment horizontal="right" vertical="center" wrapText="1"/>
    </xf>
    <xf numFmtId="4" fontId="3" fillId="0" borderId="3" xfId="0" applyNumberFormat="1" applyFont="1" applyBorder="1" applyAlignment="1">
      <alignment horizontal="right" vertical="center" wrapText="1"/>
    </xf>
    <xf numFmtId="3" fontId="3" fillId="0" borderId="3" xfId="0" applyNumberFormat="1" applyFont="1" applyBorder="1" applyAlignment="1">
      <alignment horizontal="right" vertical="center" wrapText="1"/>
    </xf>
    <xf numFmtId="3" fontId="5" fillId="0" borderId="3" xfId="0" applyNumberFormat="1" applyFont="1" applyBorder="1" applyAlignment="1">
      <alignment horizontal="right" vertical="center" wrapText="1"/>
    </xf>
    <xf numFmtId="168" fontId="5" fillId="0" borderId="3" xfId="0" applyNumberFormat="1" applyFont="1" applyBorder="1" applyAlignment="1">
      <alignment horizontal="right" vertical="center" wrapText="1"/>
    </xf>
    <xf numFmtId="4" fontId="5" fillId="0" borderId="3" xfId="0" applyNumberFormat="1" applyFont="1" applyBorder="1" applyAlignment="1">
      <alignment horizontal="right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2" fillId="0" borderId="7" xfId="0" applyFont="1" applyBorder="1"/>
    <xf numFmtId="10" fontId="12" fillId="0" borderId="7" xfId="0" applyNumberFormat="1" applyFont="1" applyBorder="1"/>
    <xf numFmtId="0" fontId="9" fillId="5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5" borderId="12" xfId="0" applyFont="1" applyFill="1" applyBorder="1" applyAlignment="1">
      <alignment horizontal="center" vertical="center" wrapText="1"/>
    </xf>
    <xf numFmtId="10" fontId="12" fillId="0" borderId="7" xfId="0" applyNumberFormat="1" applyFont="1" applyBorder="1" applyAlignment="1">
      <alignment wrapText="1"/>
    </xf>
    <xf numFmtId="0" fontId="18" fillId="0" borderId="0" xfId="0" applyFont="1"/>
    <xf numFmtId="0" fontId="11" fillId="4" borderId="7" xfId="0" applyFont="1" applyFill="1" applyBorder="1" applyAlignment="1">
      <alignment horizontal="center" vertical="center" wrapText="1"/>
    </xf>
    <xf numFmtId="10" fontId="12" fillId="7" borderId="4" xfId="0" applyNumberFormat="1" applyFont="1" applyFill="1" applyBorder="1"/>
    <xf numFmtId="0" fontId="11" fillId="4" borderId="9" xfId="0" applyFont="1" applyFill="1" applyBorder="1" applyAlignment="1">
      <alignment horizontal="center" vertical="center" wrapText="1"/>
    </xf>
    <xf numFmtId="0" fontId="11" fillId="8" borderId="9" xfId="0" applyFont="1" applyFill="1" applyBorder="1" applyAlignment="1">
      <alignment horizontal="center" vertical="center" wrapText="1"/>
    </xf>
    <xf numFmtId="0" fontId="12" fillId="7" borderId="9" xfId="0" applyFont="1" applyFill="1" applyBorder="1"/>
    <xf numFmtId="169" fontId="12" fillId="7" borderId="9" xfId="0" applyNumberFormat="1" applyFont="1" applyFill="1" applyBorder="1"/>
    <xf numFmtId="10" fontId="12" fillId="7" borderId="9" xfId="0" applyNumberFormat="1" applyFont="1" applyFill="1" applyBorder="1"/>
    <xf numFmtId="0" fontId="13" fillId="0" borderId="9" xfId="0" applyFont="1" applyBorder="1"/>
    <xf numFmtId="169" fontId="13" fillId="0" borderId="9" xfId="0" applyNumberFormat="1" applyFont="1" applyBorder="1"/>
    <xf numFmtId="0" fontId="15" fillId="0" borderId="9" xfId="0" applyFont="1" applyBorder="1"/>
    <xf numFmtId="0" fontId="0" fillId="0" borderId="9" xfId="0" applyBorder="1"/>
    <xf numFmtId="169" fontId="0" fillId="0" borderId="9" xfId="0" applyNumberFormat="1" applyBorder="1"/>
    <xf numFmtId="0" fontId="14" fillId="0" borderId="9" xfId="1" applyBorder="1"/>
    <xf numFmtId="10" fontId="16" fillId="0" borderId="9" xfId="1" applyNumberFormat="1" applyFont="1" applyBorder="1"/>
    <xf numFmtId="10" fontId="0" fillId="0" borderId="9" xfId="0" applyNumberFormat="1" applyBorder="1"/>
    <xf numFmtId="10" fontId="12" fillId="0" borderId="9" xfId="0" applyNumberFormat="1" applyFont="1" applyBorder="1"/>
    <xf numFmtId="0" fontId="18" fillId="0" borderId="9" xfId="0" applyFont="1" applyBorder="1" applyAlignment="1"/>
    <xf numFmtId="10" fontId="18" fillId="0" borderId="9" xfId="0" applyNumberFormat="1" applyFont="1" applyBorder="1"/>
    <xf numFmtId="164" fontId="12" fillId="0" borderId="9" xfId="0" applyNumberFormat="1" applyFont="1" applyBorder="1"/>
    <xf numFmtId="164" fontId="0" fillId="0" borderId="9" xfId="0" applyNumberFormat="1" applyBorder="1"/>
    <xf numFmtId="164" fontId="0" fillId="7" borderId="9" xfId="0" applyNumberFormat="1" applyFill="1" applyBorder="1"/>
    <xf numFmtId="0" fontId="20" fillId="0" borderId="7" xfId="0" applyFont="1" applyBorder="1"/>
    <xf numFmtId="3" fontId="21" fillId="10" borderId="7" xfId="0" applyNumberFormat="1" applyFont="1" applyFill="1" applyBorder="1" applyAlignment="1">
      <alignment horizontal="right" vertical="center" wrapText="1"/>
    </xf>
    <xf numFmtId="3" fontId="23" fillId="0" borderId="9" xfId="0" applyNumberFormat="1" applyFont="1" applyBorder="1" applyAlignment="1">
      <alignment horizontal="right" vertical="center" wrapText="1"/>
    </xf>
    <xf numFmtId="0" fontId="3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5" fillId="12" borderId="9" xfId="0" applyFont="1" applyFill="1" applyBorder="1" applyAlignment="1">
      <alignment horizontal="center" vertical="center" wrapText="1"/>
    </xf>
    <xf numFmtId="0" fontId="20" fillId="0" borderId="9" xfId="0" applyFont="1" applyBorder="1" applyAlignment="1">
      <alignment vertical="center"/>
    </xf>
    <xf numFmtId="0" fontId="20" fillId="12" borderId="9" xfId="0" applyFont="1" applyFill="1" applyBorder="1" applyAlignment="1">
      <alignment vertical="center"/>
    </xf>
    <xf numFmtId="0" fontId="12" fillId="0" borderId="9" xfId="0" applyFont="1" applyBorder="1" applyAlignment="1">
      <alignment vertical="center"/>
    </xf>
    <xf numFmtId="0" fontId="0" fillId="0" borderId="10" xfId="0" applyBorder="1"/>
    <xf numFmtId="10" fontId="0" fillId="0" borderId="9" xfId="0" applyNumberFormat="1" applyBorder="1" applyAlignment="1">
      <alignment horizontal="center" vertical="center"/>
    </xf>
    <xf numFmtId="10" fontId="0" fillId="0" borderId="15" xfId="0" applyNumberFormat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12" fillId="12" borderId="9" xfId="0" applyFont="1" applyFill="1" applyBorder="1" applyAlignment="1">
      <alignment vertical="center"/>
    </xf>
    <xf numFmtId="10" fontId="0" fillId="0" borderId="9" xfId="0" applyNumberFormat="1" applyBorder="1" applyAlignment="1">
      <alignment horizontal="right" vertical="center"/>
    </xf>
    <xf numFmtId="10" fontId="0" fillId="0" borderId="16" xfId="0" applyNumberFormat="1" applyBorder="1" applyAlignment="1">
      <alignment horizontal="center" vertical="center"/>
    </xf>
    <xf numFmtId="0" fontId="10" fillId="6" borderId="12" xfId="0" applyFont="1" applyFill="1" applyBorder="1" applyAlignment="1">
      <alignment horizontal="center" vertical="center" wrapText="1"/>
    </xf>
    <xf numFmtId="2" fontId="12" fillId="0" borderId="9" xfId="0" applyNumberFormat="1" applyFont="1" applyBorder="1" applyAlignment="1">
      <alignment vertical="center"/>
    </xf>
    <xf numFmtId="2" fontId="20" fillId="10" borderId="9" xfId="0" applyNumberFormat="1" applyFont="1" applyFill="1" applyBorder="1" applyAlignment="1">
      <alignment vertical="center"/>
    </xf>
    <xf numFmtId="0" fontId="3" fillId="10" borderId="3" xfId="0" applyFont="1" applyFill="1" applyBorder="1" applyAlignment="1">
      <alignment horizontal="left" vertical="center" wrapText="1" indent="2"/>
    </xf>
    <xf numFmtId="168" fontId="3" fillId="10" borderId="3" xfId="0" applyNumberFormat="1" applyFont="1" applyFill="1" applyBorder="1" applyAlignment="1">
      <alignment horizontal="right" vertical="center" wrapText="1"/>
    </xf>
    <xf numFmtId="0" fontId="0" fillId="10" borderId="0" xfId="0" applyFill="1"/>
    <xf numFmtId="10" fontId="24" fillId="10" borderId="16" xfId="0" applyNumberFormat="1" applyFont="1" applyFill="1" applyBorder="1" applyAlignment="1">
      <alignment horizontal="center" vertical="center"/>
    </xf>
    <xf numFmtId="0" fontId="28" fillId="0" borderId="7" xfId="0" applyFont="1" applyBorder="1"/>
    <xf numFmtId="0" fontId="29" fillId="0" borderId="7" xfId="0" applyFont="1" applyBorder="1"/>
    <xf numFmtId="10" fontId="23" fillId="0" borderId="7" xfId="0" applyNumberFormat="1" applyFont="1" applyBorder="1" applyAlignment="1">
      <alignment horizontal="right" vertical="center"/>
    </xf>
    <xf numFmtId="10" fontId="28" fillId="0" borderId="7" xfId="0" applyNumberFormat="1" applyFont="1" applyBorder="1"/>
    <xf numFmtId="0" fontId="20" fillId="10" borderId="7" xfId="0" applyFont="1" applyFill="1" applyBorder="1"/>
    <xf numFmtId="10" fontId="22" fillId="11" borderId="7" xfId="0" applyNumberFormat="1" applyFont="1" applyFill="1" applyBorder="1" applyAlignment="1">
      <alignment horizontal="right" vertical="center"/>
    </xf>
    <xf numFmtId="0" fontId="30" fillId="0" borderId="9" xfId="0" applyFont="1" applyBorder="1" applyAlignment="1">
      <alignment horizontal="center" vertical="center"/>
    </xf>
    <xf numFmtId="0" fontId="25" fillId="4" borderId="7" xfId="0" applyFont="1" applyFill="1" applyBorder="1"/>
    <xf numFmtId="0" fontId="27" fillId="4" borderId="7" xfId="0" applyFont="1" applyFill="1" applyBorder="1"/>
    <xf numFmtId="0" fontId="20" fillId="0" borderId="18" xfId="0" applyFont="1" applyBorder="1" applyAlignment="1">
      <alignment horizontal="left" vertical="center"/>
    </xf>
    <xf numFmtId="3" fontId="28" fillId="0" borderId="14" xfId="0" applyNumberFormat="1" applyFont="1" applyBorder="1" applyAlignment="1">
      <alignment horizontal="right" vertical="center" wrapText="1"/>
    </xf>
    <xf numFmtId="3" fontId="28" fillId="0" borderId="7" xfId="0" applyNumberFormat="1" applyFont="1" applyBorder="1" applyAlignment="1">
      <alignment horizontal="right" vertical="center" wrapText="1"/>
    </xf>
    <xf numFmtId="0" fontId="12" fillId="0" borderId="18" xfId="0" applyFont="1" applyBorder="1" applyAlignment="1">
      <alignment horizontal="center" vertical="center"/>
    </xf>
    <xf numFmtId="10" fontId="32" fillId="0" borderId="7" xfId="0" applyNumberFormat="1" applyFont="1" applyBorder="1" applyAlignment="1">
      <alignment horizontal="right" vertical="center"/>
    </xf>
    <xf numFmtId="10" fontId="32" fillId="0" borderId="11" xfId="0" applyNumberFormat="1" applyFont="1" applyBorder="1" applyAlignment="1">
      <alignment horizontal="right" vertical="center"/>
    </xf>
    <xf numFmtId="10" fontId="32" fillId="14" borderId="7" xfId="0" applyNumberFormat="1" applyFont="1" applyFill="1" applyBorder="1" applyAlignment="1">
      <alignment horizontal="right" vertical="center"/>
    </xf>
    <xf numFmtId="0" fontId="20" fillId="0" borderId="18" xfId="0" applyFont="1" applyBorder="1"/>
    <xf numFmtId="0" fontId="20" fillId="0" borderId="18" xfId="0" applyFont="1" applyBorder="1" applyAlignment="1">
      <alignment horizontal="left" vertical="center" wrapText="1"/>
    </xf>
    <xf numFmtId="3" fontId="12" fillId="0" borderId="7" xfId="0" applyNumberFormat="1" applyFont="1" applyBorder="1"/>
    <xf numFmtId="3" fontId="28" fillId="0" borderId="12" xfId="0" applyNumberFormat="1" applyFont="1" applyBorder="1" applyAlignment="1">
      <alignment horizontal="right" vertical="center" wrapText="1"/>
    </xf>
    <xf numFmtId="0" fontId="20" fillId="0" borderId="11" xfId="0" applyFont="1" applyBorder="1" applyAlignment="1">
      <alignment horizontal="left" vertical="center"/>
    </xf>
    <xf numFmtId="10" fontId="23" fillId="15" borderId="7" xfId="0" applyNumberFormat="1" applyFont="1" applyFill="1" applyBorder="1" applyAlignment="1">
      <alignment horizontal="right" vertical="center"/>
    </xf>
    <xf numFmtId="0" fontId="20" fillId="15" borderId="19" xfId="0" applyFont="1" applyFill="1" applyBorder="1" applyAlignment="1">
      <alignment horizontal="left" vertical="center"/>
    </xf>
    <xf numFmtId="0" fontId="20" fillId="15" borderId="5" xfId="0" applyFont="1" applyFill="1" applyBorder="1" applyAlignment="1">
      <alignment horizontal="left" vertical="center"/>
    </xf>
    <xf numFmtId="3" fontId="28" fillId="15" borderId="7" xfId="0" applyNumberFormat="1" applyFont="1" applyFill="1" applyBorder="1" applyAlignment="1">
      <alignment horizontal="right" vertical="center" wrapText="1"/>
    </xf>
    <xf numFmtId="0" fontId="9" fillId="5" borderId="12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left" vertical="center" wrapText="1" indent="4"/>
    </xf>
    <xf numFmtId="0" fontId="12" fillId="0" borderId="9" xfId="0" applyFont="1" applyBorder="1"/>
    <xf numFmtId="2" fontId="12" fillId="0" borderId="9" xfId="0" applyNumberFormat="1" applyFont="1" applyBorder="1"/>
    <xf numFmtId="0" fontId="5" fillId="0" borderId="9" xfId="0" applyFont="1" applyBorder="1" applyAlignment="1">
      <alignment vertical="center" wrapText="1"/>
    </xf>
    <xf numFmtId="2" fontId="20" fillId="0" borderId="9" xfId="0" applyNumberFormat="1" applyFont="1" applyBorder="1"/>
    <xf numFmtId="168" fontId="3" fillId="0" borderId="3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12" borderId="0" xfId="0" applyFill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65" fontId="0" fillId="0" borderId="0" xfId="0" applyNumberFormat="1"/>
    <xf numFmtId="0" fontId="9" fillId="5" borderId="9" xfId="0" applyFont="1" applyFill="1" applyBorder="1" applyAlignment="1">
      <alignment horizontal="center" vertical="center" wrapText="1"/>
    </xf>
    <xf numFmtId="3" fontId="21" fillId="10" borderId="9" xfId="0" applyNumberFormat="1" applyFont="1" applyFill="1" applyBorder="1" applyAlignment="1">
      <alignment horizontal="right" vertical="center" wrapText="1"/>
    </xf>
    <xf numFmtId="10" fontId="12" fillId="0" borderId="9" xfId="0" applyNumberFormat="1" applyFont="1" applyBorder="1" applyAlignment="1">
      <alignment horizontal="center" vertical="center"/>
    </xf>
    <xf numFmtId="170" fontId="28" fillId="0" borderId="9" xfId="0" applyNumberFormat="1" applyFont="1" applyBorder="1" applyAlignment="1">
      <alignment horizontal="center" vertical="center"/>
    </xf>
    <xf numFmtId="170" fontId="12" fillId="0" borderId="9" xfId="0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2" fontId="0" fillId="0" borderId="0" xfId="0" applyNumberFormat="1"/>
    <xf numFmtId="0" fontId="0" fillId="16" borderId="0" xfId="0" applyFill="1"/>
    <xf numFmtId="0" fontId="13" fillId="16" borderId="0" xfId="0" applyFont="1" applyFill="1"/>
    <xf numFmtId="10" fontId="0" fillId="0" borderId="0" xfId="0" applyNumberFormat="1"/>
    <xf numFmtId="0" fontId="5" fillId="0" borderId="0" xfId="0" applyFont="1" applyBorder="1" applyAlignment="1"/>
    <xf numFmtId="0" fontId="5" fillId="0" borderId="0" xfId="0" applyFont="1" applyAlignment="1"/>
    <xf numFmtId="0" fontId="5" fillId="17" borderId="11" xfId="0" applyFont="1" applyFill="1" applyBorder="1" applyAlignment="1"/>
    <xf numFmtId="15" fontId="3" fillId="0" borderId="14" xfId="0" applyNumberFormat="1" applyFont="1" applyBorder="1" applyAlignment="1"/>
    <xf numFmtId="0" fontId="3" fillId="0" borderId="22" xfId="0" applyFont="1" applyBorder="1" applyAlignment="1"/>
    <xf numFmtId="2" fontId="3" fillId="0" borderId="3" xfId="0" applyNumberFormat="1" applyFont="1" applyBorder="1" applyAlignment="1">
      <alignment horizontal="right" vertical="center" wrapText="1"/>
    </xf>
    <xf numFmtId="0" fontId="34" fillId="0" borderId="0" xfId="0" applyFont="1" applyBorder="1" applyAlignment="1"/>
    <xf numFmtId="0" fontId="3" fillId="0" borderId="3" xfId="0" applyFont="1" applyBorder="1" applyAlignment="1">
      <alignment wrapText="1"/>
    </xf>
    <xf numFmtId="10" fontId="3" fillId="0" borderId="23" xfId="0" applyNumberFormat="1" applyFont="1" applyBorder="1" applyAlignment="1">
      <alignment wrapText="1"/>
    </xf>
    <xf numFmtId="0" fontId="3" fillId="0" borderId="24" xfId="0" applyFont="1" applyBorder="1" applyAlignment="1">
      <alignment wrapText="1"/>
    </xf>
    <xf numFmtId="0" fontId="3" fillId="0" borderId="25" xfId="0" applyFont="1" applyBorder="1" applyAlignment="1">
      <alignment wrapText="1"/>
    </xf>
    <xf numFmtId="10" fontId="3" fillId="0" borderId="25" xfId="0" applyNumberFormat="1" applyFont="1" applyBorder="1" applyAlignment="1">
      <alignment wrapText="1"/>
    </xf>
    <xf numFmtId="10" fontId="6" fillId="0" borderId="23" xfId="0" applyNumberFormat="1" applyFont="1" applyBorder="1" applyAlignment="1">
      <alignment wrapText="1"/>
    </xf>
    <xf numFmtId="10" fontId="6" fillId="0" borderId="25" xfId="0" applyNumberFormat="1" applyFont="1" applyBorder="1" applyAlignment="1">
      <alignment wrapText="1"/>
    </xf>
    <xf numFmtId="0" fontId="34" fillId="18" borderId="0" xfId="0" applyFont="1" applyFill="1" applyBorder="1" applyAlignment="1"/>
    <xf numFmtId="0" fontId="34" fillId="18" borderId="0" xfId="0" applyFont="1" applyFill="1" applyAlignment="1"/>
    <xf numFmtId="0" fontId="3" fillId="18" borderId="3" xfId="0" applyFont="1" applyFill="1" applyBorder="1" applyAlignment="1">
      <alignment wrapText="1"/>
    </xf>
    <xf numFmtId="10" fontId="34" fillId="0" borderId="0" xfId="0" applyNumberFormat="1" applyFont="1" applyBorder="1" applyAlignment="1"/>
    <xf numFmtId="0" fontId="3" fillId="18" borderId="24" xfId="0" applyFont="1" applyFill="1" applyBorder="1" applyAlignment="1">
      <alignment wrapText="1"/>
    </xf>
    <xf numFmtId="164" fontId="0" fillId="0" borderId="0" xfId="0" applyNumberFormat="1"/>
    <xf numFmtId="164" fontId="0" fillId="19" borderId="0" xfId="0" applyNumberFormat="1" applyFill="1"/>
    <xf numFmtId="2" fontId="33" fillId="0" borderId="0" xfId="0" applyNumberFormat="1" applyFont="1" applyAlignment="1">
      <alignment horizontal="center" vertical="center"/>
    </xf>
    <xf numFmtId="0" fontId="36" fillId="20" borderId="26" xfId="0" applyFont="1" applyFill="1" applyBorder="1" applyAlignment="1">
      <alignment horizontal="center" vertical="center" wrapText="1"/>
    </xf>
    <xf numFmtId="0" fontId="38" fillId="20" borderId="26" xfId="0" applyFont="1" applyFill="1" applyBorder="1" applyAlignment="1">
      <alignment horizontal="center" vertical="center" wrapText="1"/>
    </xf>
    <xf numFmtId="0" fontId="39" fillId="22" borderId="0" xfId="0" applyFont="1" applyFill="1" applyAlignment="1">
      <alignment horizontal="center" vertical="center" wrapText="1"/>
    </xf>
    <xf numFmtId="10" fontId="39" fillId="22" borderId="0" xfId="0" applyNumberFormat="1" applyFont="1" applyFill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10" fontId="39" fillId="0" borderId="0" xfId="0" applyNumberFormat="1" applyFont="1" applyAlignment="1">
      <alignment horizontal="center" vertical="center" wrapText="1"/>
    </xf>
    <xf numFmtId="0" fontId="39" fillId="0" borderId="29" xfId="0" applyFont="1" applyBorder="1" applyAlignment="1">
      <alignment horizontal="center" vertical="center" wrapText="1"/>
    </xf>
    <xf numFmtId="9" fontId="39" fillId="0" borderId="0" xfId="0" applyNumberFormat="1" applyFont="1" applyAlignment="1">
      <alignment horizontal="center" vertical="center" wrapText="1"/>
    </xf>
    <xf numFmtId="0" fontId="38" fillId="21" borderId="26" xfId="0" applyFont="1" applyFill="1" applyBorder="1" applyAlignment="1">
      <alignment horizontal="center" vertical="center" wrapText="1"/>
    </xf>
    <xf numFmtId="0" fontId="38" fillId="21" borderId="27" xfId="0" applyFont="1" applyFill="1" applyBorder="1" applyAlignment="1">
      <alignment horizontal="center" vertical="center" wrapText="1"/>
    </xf>
    <xf numFmtId="0" fontId="38" fillId="21" borderId="28" xfId="0" applyFont="1" applyFill="1" applyBorder="1" applyAlignment="1">
      <alignment horizontal="center" vertical="center" wrapText="1"/>
    </xf>
    <xf numFmtId="0" fontId="39" fillId="22" borderId="29" xfId="0" applyFont="1" applyFill="1" applyBorder="1" applyAlignment="1">
      <alignment horizontal="center" vertical="center" wrapText="1"/>
    </xf>
    <xf numFmtId="0" fontId="40" fillId="21" borderId="27" xfId="0" applyFont="1" applyFill="1" applyBorder="1" applyAlignment="1">
      <alignment horizontal="center" vertical="center" wrapText="1"/>
    </xf>
    <xf numFmtId="0" fontId="40" fillId="21" borderId="28" xfId="0" applyFont="1" applyFill="1" applyBorder="1" applyAlignment="1">
      <alignment horizontal="center" vertical="center" wrapText="1"/>
    </xf>
    <xf numFmtId="0" fontId="36" fillId="0" borderId="0" xfId="0" applyFont="1" applyAlignment="1">
      <alignment vertical="center"/>
    </xf>
    <xf numFmtId="3" fontId="45" fillId="0" borderId="7" xfId="0" applyNumberFormat="1" applyFont="1" applyBorder="1" applyAlignment="1">
      <alignment horizontal="center" vertical="center" wrapText="1"/>
    </xf>
    <xf numFmtId="0" fontId="44" fillId="0" borderId="7" xfId="0" applyFont="1" applyBorder="1" applyAlignment="1">
      <alignment horizontal="center" vertical="center"/>
    </xf>
    <xf numFmtId="4" fontId="45" fillId="11" borderId="7" xfId="0" applyNumberFormat="1" applyFont="1" applyFill="1" applyBorder="1" applyAlignment="1">
      <alignment horizontal="center" vertical="center" wrapText="1"/>
    </xf>
    <xf numFmtId="0" fontId="42" fillId="0" borderId="7" xfId="0" applyFont="1" applyBorder="1" applyAlignment="1">
      <alignment horizontal="center" vertical="center"/>
    </xf>
    <xf numFmtId="10" fontId="43" fillId="13" borderId="7" xfId="0" applyNumberFormat="1" applyFont="1" applyFill="1" applyBorder="1" applyAlignment="1">
      <alignment horizontal="center" vertical="center"/>
    </xf>
    <xf numFmtId="0" fontId="37" fillId="23" borderId="31" xfId="0" applyFont="1" applyFill="1" applyBorder="1" applyAlignment="1">
      <alignment wrapText="1"/>
    </xf>
    <xf numFmtId="0" fontId="37" fillId="23" borderId="32" xfId="0" applyFont="1" applyFill="1" applyBorder="1" applyAlignment="1">
      <alignment wrapText="1"/>
    </xf>
    <xf numFmtId="0" fontId="37" fillId="23" borderId="33" xfId="0" applyFont="1" applyFill="1" applyBorder="1" applyAlignment="1">
      <alignment wrapText="1"/>
    </xf>
    <xf numFmtId="0" fontId="37" fillId="23" borderId="34" xfId="0" applyFont="1" applyFill="1" applyBorder="1" applyAlignment="1">
      <alignment wrapText="1"/>
    </xf>
    <xf numFmtId="0" fontId="35" fillId="24" borderId="35" xfId="0" applyFont="1" applyFill="1" applyBorder="1" applyAlignment="1">
      <alignment wrapText="1"/>
    </xf>
    <xf numFmtId="0" fontId="35" fillId="25" borderId="35" xfId="0" applyFont="1" applyFill="1" applyBorder="1" applyAlignment="1">
      <alignment wrapText="1"/>
    </xf>
    <xf numFmtId="0" fontId="35" fillId="24" borderId="36" xfId="0" applyFont="1" applyFill="1" applyBorder="1" applyAlignment="1">
      <alignment wrapText="1"/>
    </xf>
    <xf numFmtId="0" fontId="35" fillId="0" borderId="35" xfId="0" applyFont="1" applyBorder="1" applyAlignment="1">
      <alignment wrapText="1"/>
    </xf>
    <xf numFmtId="0" fontId="37" fillId="23" borderId="37" xfId="0" applyFont="1" applyFill="1" applyBorder="1" applyAlignment="1">
      <alignment wrapText="1"/>
    </xf>
    <xf numFmtId="0" fontId="35" fillId="24" borderId="38" xfId="0" applyFont="1" applyFill="1" applyBorder="1" applyAlignment="1">
      <alignment wrapText="1"/>
    </xf>
    <xf numFmtId="0" fontId="35" fillId="0" borderId="38" xfId="0" applyFont="1" applyBorder="1" applyAlignment="1">
      <alignment wrapText="1"/>
    </xf>
    <xf numFmtId="0" fontId="35" fillId="24" borderId="39" xfId="0" applyFont="1" applyFill="1" applyBorder="1" applyAlignment="1">
      <alignment wrapText="1"/>
    </xf>
    <xf numFmtId="0" fontId="46" fillId="21" borderId="40" xfId="0" applyFont="1" applyFill="1" applyBorder="1" applyAlignment="1">
      <alignment wrapText="1" readingOrder="1"/>
    </xf>
    <xf numFmtId="0" fontId="46" fillId="21" borderId="41" xfId="0" applyFont="1" applyFill="1" applyBorder="1" applyAlignment="1">
      <alignment wrapText="1" readingOrder="1"/>
    </xf>
    <xf numFmtId="0" fontId="46" fillId="21" borderId="42" xfId="0" applyFont="1" applyFill="1" applyBorder="1" applyAlignment="1">
      <alignment wrapText="1" readingOrder="1"/>
    </xf>
    <xf numFmtId="0" fontId="38" fillId="21" borderId="43" xfId="0" applyFont="1" applyFill="1" applyBorder="1" applyAlignment="1">
      <alignment wrapText="1" readingOrder="1"/>
    </xf>
    <xf numFmtId="0" fontId="38" fillId="21" borderId="44" xfId="0" applyFont="1" applyFill="1" applyBorder="1" applyAlignment="1">
      <alignment wrapText="1" readingOrder="1"/>
    </xf>
    <xf numFmtId="2" fontId="39" fillId="22" borderId="0" xfId="0" applyNumberFormat="1" applyFont="1" applyFill="1" applyAlignment="1">
      <alignment wrapText="1" readingOrder="1"/>
    </xf>
    <xf numFmtId="2" fontId="39" fillId="22" borderId="20" xfId="0" applyNumberFormat="1" applyFont="1" applyFill="1" applyBorder="1" applyAlignment="1">
      <alignment wrapText="1" readingOrder="1"/>
    </xf>
    <xf numFmtId="2" fontId="39" fillId="0" borderId="0" xfId="0" applyNumberFormat="1" applyFont="1" applyAlignment="1">
      <alignment wrapText="1" readingOrder="1"/>
    </xf>
    <xf numFmtId="2" fontId="39" fillId="0" borderId="20" xfId="0" applyNumberFormat="1" applyFont="1" applyBorder="1" applyAlignment="1">
      <alignment wrapText="1" readingOrder="1"/>
    </xf>
    <xf numFmtId="2" fontId="47" fillId="22" borderId="6" xfId="0" applyNumberFormat="1" applyFont="1" applyFill="1" applyBorder="1" applyAlignment="1">
      <alignment wrapText="1" readingOrder="1"/>
    </xf>
    <xf numFmtId="2" fontId="47" fillId="22" borderId="22" xfId="0" applyNumberFormat="1" applyFont="1" applyFill="1" applyBorder="1" applyAlignment="1">
      <alignment wrapText="1" readingOrder="1"/>
    </xf>
    <xf numFmtId="0" fontId="48" fillId="16" borderId="3" xfId="0" applyFont="1" applyFill="1" applyBorder="1" applyAlignment="1">
      <alignment vertical="center" wrapText="1"/>
    </xf>
    <xf numFmtId="168" fontId="48" fillId="16" borderId="3" xfId="0" applyNumberFormat="1" applyFont="1" applyFill="1" applyBorder="1" applyAlignment="1">
      <alignment horizontal="right" vertical="center" wrapText="1"/>
    </xf>
    <xf numFmtId="4" fontId="48" fillId="16" borderId="3" xfId="0" applyNumberFormat="1" applyFont="1" applyFill="1" applyBorder="1" applyAlignment="1">
      <alignment horizontal="right" vertical="center" wrapText="1"/>
    </xf>
    <xf numFmtId="0" fontId="16" fillId="16" borderId="0" xfId="0" applyFont="1" applyFill="1"/>
    <xf numFmtId="0" fontId="49" fillId="0" borderId="3" xfId="0" applyFont="1" applyBorder="1" applyAlignment="1">
      <alignment vertical="center" wrapText="1"/>
    </xf>
    <xf numFmtId="168" fontId="50" fillId="0" borderId="3" xfId="0" applyNumberFormat="1" applyFont="1" applyBorder="1" applyAlignment="1">
      <alignment horizontal="right" vertical="center" wrapText="1"/>
    </xf>
    <xf numFmtId="168" fontId="49" fillId="0" borderId="3" xfId="0" applyNumberFormat="1" applyFont="1" applyBorder="1" applyAlignment="1">
      <alignment horizontal="right" vertical="center" wrapText="1"/>
    </xf>
    <xf numFmtId="0" fontId="11" fillId="4" borderId="9" xfId="0" applyFont="1" applyFill="1" applyBorder="1" applyAlignment="1">
      <alignment horizontal="center" vertical="center" wrapText="1"/>
    </xf>
    <xf numFmtId="0" fontId="11" fillId="8" borderId="9" xfId="0" applyFont="1" applyFill="1" applyBorder="1" applyAlignment="1">
      <alignment horizontal="center" vertical="center" wrapText="1"/>
    </xf>
    <xf numFmtId="0" fontId="11" fillId="4" borderId="11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/>
    </xf>
    <xf numFmtId="0" fontId="0" fillId="0" borderId="0" xfId="0" applyAlignment="1"/>
    <xf numFmtId="166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1" fillId="6" borderId="7" xfId="0" applyFont="1" applyFill="1" applyBorder="1" applyAlignment="1">
      <alignment horizontal="center" vertical="center" wrapText="1"/>
    </xf>
    <xf numFmtId="0" fontId="26" fillId="4" borderId="7" xfId="0" applyFont="1" applyFill="1" applyBorder="1" applyAlignment="1"/>
    <xf numFmtId="0" fontId="9" fillId="4" borderId="7" xfId="0" applyFont="1" applyFill="1" applyBorder="1" applyAlignment="1">
      <alignment horizontal="center" vertical="center" wrapText="1"/>
    </xf>
    <xf numFmtId="0" fontId="10" fillId="6" borderId="11" xfId="0" applyFont="1" applyFill="1" applyBorder="1" applyAlignment="1">
      <alignment horizontal="center" vertical="center" wrapText="1"/>
    </xf>
    <xf numFmtId="0" fontId="10" fillId="6" borderId="8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9" fillId="4" borderId="17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 wrapText="1"/>
    </xf>
    <xf numFmtId="0" fontId="19" fillId="9" borderId="0" xfId="0" applyFont="1" applyFill="1" applyBorder="1" applyAlignment="1">
      <alignment horizontal="center"/>
    </xf>
    <xf numFmtId="0" fontId="19" fillId="9" borderId="21" xfId="0" applyFont="1" applyFill="1" applyBorder="1" applyAlignment="1">
      <alignment horizontal="center"/>
    </xf>
    <xf numFmtId="0" fontId="36" fillId="21" borderId="27" xfId="0" applyFont="1" applyFill="1" applyBorder="1" applyAlignment="1">
      <alignment horizontal="center" vertical="center" wrapText="1"/>
    </xf>
    <xf numFmtId="0" fontId="36" fillId="21" borderId="28" xfId="0" applyFont="1" applyFill="1" applyBorder="1" applyAlignment="1">
      <alignment horizontal="center" vertical="center" wrapText="1"/>
    </xf>
    <xf numFmtId="0" fontId="36" fillId="21" borderId="30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DCF!$AP$4:$AY$4</c:f>
              <c:numCache>
                <c:formatCode>General</c:formatCode>
                <c:ptCount val="10"/>
                <c:pt idx="0">
                  <c:v>3700.14</c:v>
                </c:pt>
                <c:pt idx="1">
                  <c:v>4063.29</c:v>
                </c:pt>
                <c:pt idx="2">
                  <c:v>3686.4</c:v>
                </c:pt>
                <c:pt idx="3">
                  <c:v>3466.84</c:v>
                </c:pt>
                <c:pt idx="4">
                  <c:v>3534.9</c:v>
                </c:pt>
                <c:pt idx="5">
                  <c:v>3562.63</c:v>
                </c:pt>
                <c:pt idx="6">
                  <c:v>3064.7</c:v>
                </c:pt>
                <c:pt idx="7">
                  <c:v>3587.27</c:v>
                </c:pt>
                <c:pt idx="8">
                  <c:v>4528.29</c:v>
                </c:pt>
                <c:pt idx="9">
                  <c:v>5521.23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D4-C74C-AFF7-28431337F2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0695919"/>
        <c:axId val="1600414384"/>
      </c:lineChart>
      <c:catAx>
        <c:axId val="17706959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00414384"/>
        <c:crosses val="autoZero"/>
        <c:auto val="1"/>
        <c:lblAlgn val="ctr"/>
        <c:lblOffset val="100"/>
        <c:noMultiLvlLbl val="0"/>
      </c:catAx>
      <c:valAx>
        <c:axId val="160041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70695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Total Revenue</a:t>
            </a:r>
          </a:p>
        </c:rich>
      </c:tx>
      <c:layout>
        <c:manualLayout>
          <c:xMode val="edge"/>
          <c:yMode val="edge"/>
          <c:x val="0.36257951082655088"/>
          <c:y val="3.46020265868779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cat>
            <c:strRef>
              <c:f>DCF!$B$37:$P$37</c:f>
              <c:strCache>
                <c:ptCount val="1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2025E</c:v>
                </c:pt>
                <c:pt idx="11">
                  <c:v>2026E</c:v>
                </c:pt>
                <c:pt idx="12">
                  <c:v>2027E</c:v>
                </c:pt>
                <c:pt idx="13">
                  <c:v>2028E</c:v>
                </c:pt>
                <c:pt idx="14">
                  <c:v>2029E</c:v>
                </c:pt>
              </c:strCache>
            </c:strRef>
          </c:cat>
          <c:val>
            <c:numRef>
              <c:f>DCF!$B$38:$P$38</c:f>
              <c:numCache>
                <c:formatCode>General</c:formatCode>
                <c:ptCount val="15"/>
                <c:pt idx="0">
                  <c:v>19211.55</c:v>
                </c:pt>
                <c:pt idx="1">
                  <c:v>14175.82</c:v>
                </c:pt>
                <c:pt idx="2">
                  <c:v>14179.85</c:v>
                </c:pt>
                <c:pt idx="3">
                  <c:v>14594.43</c:v>
                </c:pt>
                <c:pt idx="4">
                  <c:v>14636.99</c:v>
                </c:pt>
                <c:pt idx="5">
                  <c:v>14467.75</c:v>
                </c:pt>
                <c:pt idx="6">
                  <c:v>13953.47</c:v>
                </c:pt>
                <c:pt idx="7">
                  <c:v>16216.93</c:v>
                </c:pt>
                <c:pt idx="8">
                  <c:v>17365.64</c:v>
                </c:pt>
                <c:pt idx="9">
                  <c:v>18457.07</c:v>
                </c:pt>
                <c:pt idx="10" formatCode="0.00">
                  <c:v>19343</c:v>
                </c:pt>
                <c:pt idx="11" formatCode="0.00">
                  <c:v>20271</c:v>
                </c:pt>
                <c:pt idx="12" formatCode="0.00">
                  <c:v>21244</c:v>
                </c:pt>
                <c:pt idx="13" formatCode="0.00">
                  <c:v>22264</c:v>
                </c:pt>
                <c:pt idx="14" formatCode="0.00">
                  <c:v>23332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06-4B6F-A9FE-8293E4C4B5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6441096"/>
        <c:axId val="1996443144"/>
      </c:lineChart>
      <c:catAx>
        <c:axId val="1996441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443144"/>
        <c:crosses val="autoZero"/>
        <c:auto val="1"/>
        <c:lblAlgn val="ctr"/>
        <c:lblOffset val="100"/>
        <c:noMultiLvlLbl val="0"/>
      </c:catAx>
      <c:valAx>
        <c:axId val="1996443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441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CN" sz="16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Free Cash Flow (2018-2024()</a:t>
            </a:r>
            <a:endParaRPr lang="zh-CN" alt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DCF!$AA$27:$AG$27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DCF!$AA$42:$AG$42</c:f>
              <c:numCache>
                <c:formatCode>#,##0</c:formatCode>
                <c:ptCount val="7"/>
                <c:pt idx="0">
                  <c:v>-1639.46</c:v>
                </c:pt>
                <c:pt idx="1">
                  <c:v>-262.63</c:v>
                </c:pt>
                <c:pt idx="2">
                  <c:v>-1654.61</c:v>
                </c:pt>
                <c:pt idx="3">
                  <c:v>458.76</c:v>
                </c:pt>
                <c:pt idx="4">
                  <c:v>-95.02</c:v>
                </c:pt>
                <c:pt idx="5">
                  <c:v>-2656.79</c:v>
                </c:pt>
                <c:pt idx="6">
                  <c:v>-1560.47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A4-9C42-9A64-83D560DB7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027375"/>
        <c:axId val="303143360"/>
      </c:lineChart>
      <c:catAx>
        <c:axId val="56027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303143360"/>
        <c:crosses val="autoZero"/>
        <c:auto val="1"/>
        <c:lblAlgn val="ctr"/>
        <c:lblOffset val="100"/>
        <c:noMultiLvlLbl val="0"/>
      </c:catAx>
      <c:valAx>
        <c:axId val="30314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56027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CN" sz="1600" b="1">
                <a:latin typeface="Times New Roman" panose="02020603050405020304" pitchFamily="18" charset="0"/>
                <a:cs typeface="Times New Roman" panose="02020603050405020304" pitchFamily="18" charset="0"/>
              </a:rPr>
              <a:t>Dividends Per Share</a:t>
            </a:r>
            <a:endParaRPr lang="zh-CN" altLang="en-US" sz="16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27350490584650072"/>
          <c:y val="6.98080407136617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0789045664593942E-2"/>
          <c:y val="0.182455865194627"/>
          <c:w val="0.84262270341207346"/>
          <c:h val="0.72124234470691162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rgbClr val="0070C0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DDM!$A$9:$A$15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DDM!$B$9:$B$15</c:f>
              <c:numCache>
                <c:formatCode>"$"#,##0.0000_);[Red]\("$"#,##0.0000\)</c:formatCode>
                <c:ptCount val="7"/>
                <c:pt idx="0">
                  <c:v>1.52</c:v>
                </c:pt>
                <c:pt idx="1">
                  <c:v>1.56</c:v>
                </c:pt>
                <c:pt idx="2">
                  <c:v>1.56</c:v>
                </c:pt>
                <c:pt idx="3">
                  <c:v>1.56</c:v>
                </c:pt>
                <c:pt idx="4">
                  <c:v>1.58</c:v>
                </c:pt>
                <c:pt idx="5">
                  <c:v>1.6850000000000001</c:v>
                </c:pt>
                <c:pt idx="6">
                  <c:v>1.78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04-4A41-9523-B935E4A9A08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6"/>
        <c:overlap val="-27"/>
        <c:axId val="1518614447"/>
        <c:axId val="1518619247"/>
      </c:barChart>
      <c:catAx>
        <c:axId val="15186144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518619247"/>
        <c:crosses val="autoZero"/>
        <c:auto val="1"/>
        <c:lblAlgn val="ctr"/>
        <c:lblOffset val="100"/>
        <c:noMultiLvlLbl val="0"/>
      </c:catAx>
      <c:valAx>
        <c:axId val="1518619247"/>
        <c:scaling>
          <c:orientation val="minMax"/>
        </c:scaling>
        <c:delete val="1"/>
        <c:axPos val="l"/>
        <c:numFmt formatCode="&quot;$&quot;#,##0.0000_);[Red]\(&quot;$&quot;#,##0.0000\)" sourceLinked="1"/>
        <c:majorTickMark val="none"/>
        <c:minorTickMark val="none"/>
        <c:tickLblPos val="nextTo"/>
        <c:crossAx val="1518614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Dividend Per Share</a:t>
            </a:r>
          </a:p>
        </c:rich>
      </c:tx>
      <c:layout>
        <c:manualLayout>
          <c:xMode val="edge"/>
          <c:yMode val="edge"/>
          <c:x val="0.32324295001226044"/>
          <c:y val="1.52777777777777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>
              <a:solidFill>
                <a:srgbClr val="0070BF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DDM!$M$1:$M$5</c:f>
              <c:numCache>
                <c:formatCode>General</c:formatCode>
                <c:ptCount val="5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</c:numCache>
            </c:numRef>
          </c:cat>
          <c:val>
            <c:numRef>
              <c:f>DDM!$J$1:$J$5</c:f>
              <c:numCache>
                <c:formatCode>"$"#,##0.00_);[Red]\("$"#,##0.00\)</c:formatCode>
                <c:ptCount val="5"/>
                <c:pt idx="0">
                  <c:v>1.7608249999999999</c:v>
                </c:pt>
                <c:pt idx="1">
                  <c:v>1.8400621249999998</c:v>
                </c:pt>
                <c:pt idx="2">
                  <c:v>1.9228649206249997</c:v>
                </c:pt>
                <c:pt idx="3">
                  <c:v>2.0093938420531243</c:v>
                </c:pt>
                <c:pt idx="4">
                  <c:v>2.0998165649455149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BE-4E80-BBD1-E3D4E2A81C7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4087687"/>
        <c:axId val="2084649991"/>
      </c:barChart>
      <c:catAx>
        <c:axId val="214087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649991"/>
        <c:crosses val="autoZero"/>
        <c:auto val="1"/>
        <c:lblAlgn val="ctr"/>
        <c:lblOffset val="100"/>
        <c:noMultiLvlLbl val="0"/>
      </c:catAx>
      <c:valAx>
        <c:axId val="2084649991"/>
        <c:scaling>
          <c:orientation val="minMax"/>
        </c:scaling>
        <c:delete val="1"/>
        <c:axPos val="l"/>
        <c:numFmt formatCode="&quot;$&quot;#,##0.00_);[Red]\(&quot;$&quot;#,##0.00\)" sourceLinked="1"/>
        <c:majorTickMark val="none"/>
        <c:minorTickMark val="none"/>
        <c:tickLblPos val="nextTo"/>
        <c:crossAx val="214087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CCA!$C$1</c:f>
              <c:strCache>
                <c:ptCount val="1"/>
                <c:pt idx="0">
                  <c:v>EV / EBITDA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CCA!$A$2:$A$8</c:f>
              <c:strCache>
                <c:ptCount val="7"/>
                <c:pt idx="0">
                  <c:v>FirstEnergy Corp</c:v>
                </c:pt>
                <c:pt idx="1">
                  <c:v>American Electric Power Company Inc</c:v>
                </c:pt>
                <c:pt idx="2">
                  <c:v>Nextera Energy Inc</c:v>
                </c:pt>
                <c:pt idx="3">
                  <c:v>Southern Co</c:v>
                </c:pt>
                <c:pt idx="4">
                  <c:v>Duke Energy Corp</c:v>
                </c:pt>
                <c:pt idx="5">
                  <c:v>Public Service Enterprise Group Inc</c:v>
                </c:pt>
                <c:pt idx="6">
                  <c:v>Dominion Energy Inc</c:v>
                </c:pt>
              </c:strCache>
            </c:strRef>
          </c:cat>
          <c:val>
            <c:numRef>
              <c:f>CCA!$C$2:$C$8</c:f>
              <c:numCache>
                <c:formatCode>General</c:formatCode>
                <c:ptCount val="7"/>
                <c:pt idx="0">
                  <c:v>10.94</c:v>
                </c:pt>
                <c:pt idx="1">
                  <c:v>11.6</c:v>
                </c:pt>
                <c:pt idx="2">
                  <c:v>14.87</c:v>
                </c:pt>
                <c:pt idx="3">
                  <c:v>12.18</c:v>
                </c:pt>
                <c:pt idx="4">
                  <c:v>11.34</c:v>
                </c:pt>
                <c:pt idx="5">
                  <c:v>13.08</c:v>
                </c:pt>
                <c:pt idx="6">
                  <c:v>12.56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83-4F21-8A0D-FCDA6ED6FA0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20"/>
        <c:overlap val="-25"/>
        <c:axId val="1627380031"/>
        <c:axId val="1627590895"/>
      </c:barChart>
      <c:catAx>
        <c:axId val="1627380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627590895"/>
        <c:crosses val="autoZero"/>
        <c:auto val="1"/>
        <c:lblAlgn val="ctr"/>
        <c:lblOffset val="100"/>
        <c:noMultiLvlLbl val="0"/>
      </c:catAx>
      <c:valAx>
        <c:axId val="162759089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27380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CCA!$D$1</c:f>
              <c:strCache>
                <c:ptCount val="1"/>
                <c:pt idx="0">
                  <c:v>Price / EPS 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CCA!$A$2:$A$8</c:f>
              <c:strCache>
                <c:ptCount val="7"/>
                <c:pt idx="0">
                  <c:v>FirstEnergy Corp</c:v>
                </c:pt>
                <c:pt idx="1">
                  <c:v>American Electric Power Company Inc</c:v>
                </c:pt>
                <c:pt idx="2">
                  <c:v>Nextera Energy Inc</c:v>
                </c:pt>
                <c:pt idx="3">
                  <c:v>Southern Co</c:v>
                </c:pt>
                <c:pt idx="4">
                  <c:v>Duke Energy Corp</c:v>
                </c:pt>
                <c:pt idx="5">
                  <c:v>Public Service Enterprise Group Inc</c:v>
                </c:pt>
                <c:pt idx="6">
                  <c:v>Dominion Energy Inc</c:v>
                </c:pt>
              </c:strCache>
            </c:strRef>
          </c:cat>
          <c:val>
            <c:numRef>
              <c:f>CCA!$D$2:$D$8</c:f>
              <c:numCache>
                <c:formatCode>General</c:formatCode>
                <c:ptCount val="7"/>
                <c:pt idx="0">
                  <c:v>16.96</c:v>
                </c:pt>
                <c:pt idx="1">
                  <c:v>19.260000000000002</c:v>
                </c:pt>
                <c:pt idx="2">
                  <c:v>21.13</c:v>
                </c:pt>
                <c:pt idx="3">
                  <c:v>19.84</c:v>
                </c:pt>
                <c:pt idx="4">
                  <c:v>18.3</c:v>
                </c:pt>
                <c:pt idx="5">
                  <c:v>18.809999999999999</c:v>
                </c:pt>
                <c:pt idx="6">
                  <c:v>16.87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AD-463B-871B-061A09B122C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32"/>
        <c:overlap val="-70"/>
        <c:axId val="1627594047"/>
        <c:axId val="1624390063"/>
      </c:barChart>
      <c:catAx>
        <c:axId val="16275940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624390063"/>
        <c:crosses val="autoZero"/>
        <c:auto val="1"/>
        <c:lblAlgn val="ctr"/>
        <c:lblOffset val="100"/>
        <c:noMultiLvlLbl val="0"/>
      </c:catAx>
      <c:valAx>
        <c:axId val="16243900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27594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CCA!$E$1</c:f>
              <c:strCache>
                <c:ptCount val="1"/>
                <c:pt idx="0">
                  <c:v>Price / Cash Flow Per Share</c:v>
                </c:pt>
              </c:strCache>
            </c:strRef>
          </c:tx>
          <c:spPr>
            <a:gradFill>
              <a:gsLst>
                <a:gs pos="0">
                  <a:srgbClr val="0070C0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CCA!$A$2:$A$8</c:f>
              <c:strCache>
                <c:ptCount val="7"/>
                <c:pt idx="0">
                  <c:v>FirstEnergy Corp</c:v>
                </c:pt>
                <c:pt idx="1">
                  <c:v>American Electric Power Company Inc</c:v>
                </c:pt>
                <c:pt idx="2">
                  <c:v>Nextera Energy Inc</c:v>
                </c:pt>
                <c:pt idx="3">
                  <c:v>Southern Co</c:v>
                </c:pt>
                <c:pt idx="4">
                  <c:v>Duke Energy Corp</c:v>
                </c:pt>
                <c:pt idx="5">
                  <c:v>Public Service Enterprise Group Inc</c:v>
                </c:pt>
                <c:pt idx="6">
                  <c:v>Dominion Energy Inc</c:v>
                </c:pt>
              </c:strCache>
            </c:strRef>
          </c:cat>
          <c:val>
            <c:numRef>
              <c:f>CCA!$E$2:$E$8</c:f>
              <c:numCache>
                <c:formatCode>General</c:formatCode>
                <c:ptCount val="7"/>
                <c:pt idx="0">
                  <c:v>7.87</c:v>
                </c:pt>
                <c:pt idx="1">
                  <c:v>9.5500000000000007</c:v>
                </c:pt>
                <c:pt idx="2">
                  <c:v>11.41</c:v>
                </c:pt>
                <c:pt idx="3">
                  <c:v>9.48</c:v>
                </c:pt>
                <c:pt idx="4">
                  <c:v>8.1999999999999993</c:v>
                </c:pt>
                <c:pt idx="5">
                  <c:v>10.8</c:v>
                </c:pt>
                <c:pt idx="6">
                  <c:v>9.27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86-4968-B3BC-6A27036A382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1"/>
        <c:overlap val="-25"/>
        <c:axId val="1177692095"/>
        <c:axId val="1177690655"/>
      </c:barChart>
      <c:catAx>
        <c:axId val="1177692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77690655"/>
        <c:crosses val="autoZero"/>
        <c:auto val="1"/>
        <c:lblAlgn val="ctr"/>
        <c:lblOffset val="100"/>
        <c:noMultiLvlLbl val="0"/>
      </c:catAx>
      <c:valAx>
        <c:axId val="117769065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77692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Net</a:t>
            </a:r>
            <a:r>
              <a:rPr lang="zh-CN" altLang="en-US"/>
              <a:t> </a:t>
            </a:r>
            <a:r>
              <a:rPr lang="en-US" altLang="zh-CN"/>
              <a:t>Margin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Ratio!$AB$15:$AC$15</c:f>
              <c:strCache>
                <c:ptCount val="2"/>
                <c:pt idx="0">
                  <c:v>Net Margin - %</c:v>
                </c:pt>
                <c:pt idx="1">
                  <c:v>IND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Ratio!$AD$14:$AK$14</c:f>
              <c:numCache>
                <c:formatCode>General</c:formatCode>
                <c:ptCount val="8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</c:numCache>
            </c:numRef>
          </c:cat>
          <c:val>
            <c:numRef>
              <c:f>Ratio!$AD$15:$AK$15</c:f>
              <c:numCache>
                <c:formatCode>0.00%</c:formatCode>
                <c:ptCount val="8"/>
                <c:pt idx="0">
                  <c:v>0.152</c:v>
                </c:pt>
                <c:pt idx="1">
                  <c:v>0.15</c:v>
                </c:pt>
                <c:pt idx="2">
                  <c:v>0.11700000000000001</c:v>
                </c:pt>
                <c:pt idx="3">
                  <c:v>0.14799999999999999</c:v>
                </c:pt>
                <c:pt idx="4">
                  <c:v>0.13900000000000001</c:v>
                </c:pt>
                <c:pt idx="5">
                  <c:v>0.14299999999999999</c:v>
                </c:pt>
                <c:pt idx="6">
                  <c:v>0.11899999999999999</c:v>
                </c:pt>
                <c:pt idx="7">
                  <c:v>0.123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BE-3942-A26B-6847BC88B26C}"/>
            </c:ext>
          </c:extLst>
        </c:ser>
        <c:ser>
          <c:idx val="1"/>
          <c:order val="1"/>
          <c:tx>
            <c:strRef>
              <c:f>Ratio!$AB$16:$AC$16</c:f>
              <c:strCache>
                <c:ptCount val="2"/>
                <c:pt idx="0">
                  <c:v>Net Margin - %</c:v>
                </c:pt>
                <c:pt idx="1">
                  <c:v>FE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Ratio!$AD$14:$AK$14</c:f>
              <c:numCache>
                <c:formatCode>General</c:formatCode>
                <c:ptCount val="8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</c:numCache>
            </c:numRef>
          </c:cat>
          <c:val>
            <c:numRef>
              <c:f>Ratio!$AD$16:$AK$16</c:f>
              <c:numCache>
                <c:formatCode>0.00%</c:formatCode>
                <c:ptCount val="8"/>
                <c:pt idx="0">
                  <c:v>8.4000000000000005E-2</c:v>
                </c:pt>
                <c:pt idx="1">
                  <c:v>9.2999999999999999E-2</c:v>
                </c:pt>
                <c:pt idx="2">
                  <c:v>3.5000000000000003E-2</c:v>
                </c:pt>
                <c:pt idx="3">
                  <c:v>0.111</c:v>
                </c:pt>
                <c:pt idx="4">
                  <c:v>9.2999999999999999E-2</c:v>
                </c:pt>
                <c:pt idx="5">
                  <c:v>8.2000000000000003E-2</c:v>
                </c:pt>
                <c:pt idx="6">
                  <c:v>9.2999999999999999E-2</c:v>
                </c:pt>
                <c:pt idx="7">
                  <c:v>8.3000000000000004E-2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BE-3942-A26B-6847BC88B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0729408"/>
        <c:axId val="1158706752"/>
      </c:lineChart>
      <c:catAx>
        <c:axId val="116072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158706752"/>
        <c:crosses val="autoZero"/>
        <c:auto val="1"/>
        <c:lblAlgn val="ctr"/>
        <c:lblOffset val="100"/>
        <c:noMultiLvlLbl val="0"/>
      </c:catAx>
      <c:valAx>
        <c:axId val="1158706752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160729408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ROA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Ratio!$AB$17:$AC$17</c:f>
              <c:strCache>
                <c:ptCount val="2"/>
                <c:pt idx="0">
                  <c:v>Return on Average Total Assets</c:v>
                </c:pt>
                <c:pt idx="1">
                  <c:v>IND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Ratio!$AD$14:$AK$14</c:f>
              <c:numCache>
                <c:formatCode>General</c:formatCode>
                <c:ptCount val="8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</c:numCache>
            </c:numRef>
          </c:cat>
          <c:val>
            <c:numRef>
              <c:f>Ratio!$AD$17:$AK$17</c:f>
              <c:numCache>
                <c:formatCode>0.00%</c:formatCode>
                <c:ptCount val="8"/>
                <c:pt idx="0">
                  <c:v>0.03</c:v>
                </c:pt>
                <c:pt idx="1">
                  <c:v>2.4E-2</c:v>
                </c:pt>
                <c:pt idx="2">
                  <c:v>2.1999999999999999E-2</c:v>
                </c:pt>
                <c:pt idx="3">
                  <c:v>0.02</c:v>
                </c:pt>
                <c:pt idx="4">
                  <c:v>0.02</c:v>
                </c:pt>
                <c:pt idx="5">
                  <c:v>2.7E-2</c:v>
                </c:pt>
                <c:pt idx="6">
                  <c:v>2.8000000000000001E-2</c:v>
                </c:pt>
                <c:pt idx="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04-D94E-A0EB-351151B8FD12}"/>
            </c:ext>
          </c:extLst>
        </c:ser>
        <c:ser>
          <c:idx val="1"/>
          <c:order val="1"/>
          <c:tx>
            <c:strRef>
              <c:f>Ratio!$AB$18:$AC$18</c:f>
              <c:strCache>
                <c:ptCount val="2"/>
                <c:pt idx="0">
                  <c:v>Return on Average Total Assets</c:v>
                </c:pt>
                <c:pt idx="1">
                  <c:v>FE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Ratio!$AD$14:$AK$14</c:f>
              <c:numCache>
                <c:formatCode>General</c:formatCode>
                <c:ptCount val="8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</c:numCache>
            </c:numRef>
          </c:cat>
          <c:val>
            <c:numRef>
              <c:f>Ratio!$AD$18:$AK$18</c:f>
              <c:numCache>
                <c:formatCode>0.00%</c:formatCode>
                <c:ptCount val="8"/>
                <c:pt idx="0">
                  <c:v>2.1999999999999999E-2</c:v>
                </c:pt>
                <c:pt idx="1">
                  <c:v>2.5000000000000001E-2</c:v>
                </c:pt>
                <c:pt idx="2" formatCode="0%">
                  <c:v>0.01</c:v>
                </c:pt>
                <c:pt idx="3">
                  <c:v>2.8000000000000001E-2</c:v>
                </c:pt>
                <c:pt idx="4">
                  <c:v>2.3E-2</c:v>
                </c:pt>
                <c:pt idx="5">
                  <c:v>2.1999999999999999E-2</c:v>
                </c:pt>
                <c:pt idx="6">
                  <c:v>2.5000000000000001E-2</c:v>
                </c:pt>
                <c:pt idx="7">
                  <c:v>2.1000000000000001E-2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04-D94E-A0EB-351151B8FD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5959872"/>
        <c:axId val="1365953152"/>
      </c:lineChart>
      <c:catAx>
        <c:axId val="1365959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365953152"/>
        <c:crosses val="autoZero"/>
        <c:auto val="1"/>
        <c:lblAlgn val="ctr"/>
        <c:lblOffset val="100"/>
        <c:noMultiLvlLbl val="0"/>
      </c:catAx>
      <c:valAx>
        <c:axId val="136595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36595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Current</a:t>
            </a:r>
            <a:r>
              <a:rPr lang="zh-CN" altLang="en-US"/>
              <a:t> </a:t>
            </a:r>
            <a:r>
              <a:rPr lang="en-US" altLang="zh-CN"/>
              <a:t>Ratio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8.9541557305336833E-2"/>
          <c:y val="0.17168999708369789"/>
          <c:w val="0.8965695538057743"/>
          <c:h val="0.6150681685622631"/>
        </c:manualLayout>
      </c:layout>
      <c:lineChart>
        <c:grouping val="standard"/>
        <c:varyColors val="0"/>
        <c:ser>
          <c:idx val="0"/>
          <c:order val="0"/>
          <c:tx>
            <c:strRef>
              <c:f>Ratio!$AB$21:$AC$21</c:f>
              <c:strCache>
                <c:ptCount val="2"/>
                <c:pt idx="0">
                  <c:v>Current Ratio</c:v>
                </c:pt>
                <c:pt idx="1">
                  <c:v>IND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Ratio!$AD$14:$AK$14</c:f>
              <c:numCache>
                <c:formatCode>General</c:formatCode>
                <c:ptCount val="8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</c:numCache>
            </c:numRef>
          </c:cat>
          <c:val>
            <c:numRef>
              <c:f>Ratio!$AD$21:$AK$21</c:f>
              <c:numCache>
                <c:formatCode>General</c:formatCode>
                <c:ptCount val="8"/>
                <c:pt idx="0">
                  <c:v>0.67</c:v>
                </c:pt>
                <c:pt idx="1">
                  <c:v>0.74</c:v>
                </c:pt>
                <c:pt idx="2">
                  <c:v>0.66</c:v>
                </c:pt>
                <c:pt idx="3">
                  <c:v>0.82</c:v>
                </c:pt>
                <c:pt idx="4">
                  <c:v>0.66</c:v>
                </c:pt>
                <c:pt idx="5">
                  <c:v>0.64</c:v>
                </c:pt>
                <c:pt idx="6">
                  <c:v>0.67</c:v>
                </c:pt>
                <c:pt idx="7">
                  <c:v>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74-C04D-959B-4CAA802C1A8E}"/>
            </c:ext>
          </c:extLst>
        </c:ser>
        <c:ser>
          <c:idx val="1"/>
          <c:order val="1"/>
          <c:tx>
            <c:strRef>
              <c:f>Ratio!$AB$22:$AC$22</c:f>
              <c:strCache>
                <c:ptCount val="2"/>
                <c:pt idx="0">
                  <c:v>Current Ratio</c:v>
                </c:pt>
                <c:pt idx="1">
                  <c:v>FE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Ratio!$AD$14:$AK$14</c:f>
              <c:numCache>
                <c:formatCode>General</c:formatCode>
                <c:ptCount val="8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</c:numCache>
            </c:numRef>
          </c:cat>
          <c:val>
            <c:numRef>
              <c:f>Ratio!$AD$22:$AK$22</c:f>
              <c:numCache>
                <c:formatCode>General</c:formatCode>
                <c:ptCount val="8"/>
                <c:pt idx="0">
                  <c:v>0.56000000000000005</c:v>
                </c:pt>
                <c:pt idx="1">
                  <c:v>0.48</c:v>
                </c:pt>
                <c:pt idx="2">
                  <c:v>0.61</c:v>
                </c:pt>
                <c:pt idx="3">
                  <c:v>0.73</c:v>
                </c:pt>
                <c:pt idx="4">
                  <c:v>0.74</c:v>
                </c:pt>
                <c:pt idx="5">
                  <c:v>0.5</c:v>
                </c:pt>
                <c:pt idx="6">
                  <c:v>0.52</c:v>
                </c:pt>
                <c:pt idx="7">
                  <c:v>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74-C04D-959B-4CAA802C1A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9882368"/>
        <c:axId val="1367367552"/>
      </c:lineChart>
      <c:catAx>
        <c:axId val="1159882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367367552"/>
        <c:crosses val="autoZero"/>
        <c:auto val="1"/>
        <c:lblAlgn val="ctr"/>
        <c:lblOffset val="100"/>
        <c:noMultiLvlLbl val="0"/>
      </c:catAx>
      <c:valAx>
        <c:axId val="1367367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159882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Quick</a:t>
            </a:r>
            <a:r>
              <a:rPr lang="zh-CN" altLang="en-US"/>
              <a:t> </a:t>
            </a:r>
            <a:r>
              <a:rPr lang="en-US" altLang="zh-CN"/>
              <a:t>Ratio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5.9279596505557003E-2"/>
          <c:y val="0.15780973078626159"/>
          <c:w val="0.8965695538057743"/>
          <c:h val="0.6150681685622631"/>
        </c:manualLayout>
      </c:layout>
      <c:lineChart>
        <c:grouping val="standard"/>
        <c:varyColors val="0"/>
        <c:ser>
          <c:idx val="0"/>
          <c:order val="0"/>
          <c:tx>
            <c:strRef>
              <c:f>Ratio!$AB$23:$AC$23</c:f>
              <c:strCache>
                <c:ptCount val="2"/>
                <c:pt idx="0">
                  <c:v>Quick Ratio</c:v>
                </c:pt>
                <c:pt idx="1">
                  <c:v>IND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Ratio!$AD$14:$AK$14</c:f>
              <c:numCache>
                <c:formatCode>General</c:formatCode>
                <c:ptCount val="8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</c:numCache>
            </c:numRef>
          </c:cat>
          <c:val>
            <c:numRef>
              <c:f>Ratio!$AD$23:$AK$23</c:f>
              <c:numCache>
                <c:formatCode>General</c:formatCode>
                <c:ptCount val="8"/>
                <c:pt idx="0">
                  <c:v>0.46</c:v>
                </c:pt>
                <c:pt idx="1">
                  <c:v>0.49</c:v>
                </c:pt>
                <c:pt idx="2">
                  <c:v>0.5</c:v>
                </c:pt>
                <c:pt idx="3">
                  <c:v>0.57999999999999996</c:v>
                </c:pt>
                <c:pt idx="4">
                  <c:v>0.5</c:v>
                </c:pt>
                <c:pt idx="5">
                  <c:v>0.46</c:v>
                </c:pt>
                <c:pt idx="6">
                  <c:v>0.5</c:v>
                </c:pt>
                <c:pt idx="7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6A-8A40-B8E1-808CD8D2C786}"/>
            </c:ext>
          </c:extLst>
        </c:ser>
        <c:ser>
          <c:idx val="1"/>
          <c:order val="1"/>
          <c:tx>
            <c:strRef>
              <c:f>Ratio!$AB$24:$AC$24</c:f>
              <c:strCache>
                <c:ptCount val="2"/>
                <c:pt idx="0">
                  <c:v>Quick Ratio</c:v>
                </c:pt>
                <c:pt idx="1">
                  <c:v>FE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Ratio!$AD$14:$AK$14</c:f>
              <c:numCache>
                <c:formatCode>General</c:formatCode>
                <c:ptCount val="8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</c:numCache>
            </c:numRef>
          </c:cat>
          <c:val>
            <c:numRef>
              <c:f>Ratio!$AD$24:$AK$24</c:f>
              <c:numCache>
                <c:formatCode>General</c:formatCode>
                <c:ptCount val="8"/>
                <c:pt idx="0">
                  <c:v>0.45</c:v>
                </c:pt>
                <c:pt idx="1">
                  <c:v>0.38</c:v>
                </c:pt>
                <c:pt idx="2">
                  <c:v>0.5</c:v>
                </c:pt>
                <c:pt idx="3">
                  <c:v>0.67</c:v>
                </c:pt>
                <c:pt idx="4">
                  <c:v>0.68</c:v>
                </c:pt>
                <c:pt idx="5">
                  <c:v>0.44</c:v>
                </c:pt>
                <c:pt idx="6">
                  <c:v>0.46</c:v>
                </c:pt>
                <c:pt idx="7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6A-8A40-B8E1-808CD8D2C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5767360"/>
        <c:axId val="1165763776"/>
      </c:lineChart>
      <c:catAx>
        <c:axId val="116576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165763776"/>
        <c:crosses val="autoZero"/>
        <c:auto val="1"/>
        <c:lblAlgn val="ctr"/>
        <c:lblOffset val="100"/>
        <c:noMultiLvlLbl val="0"/>
      </c:catAx>
      <c:valAx>
        <c:axId val="1165763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16576736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Ratio!$AB$34</c:f>
              <c:strCache>
                <c:ptCount val="1"/>
                <c:pt idx="0">
                  <c:v>Cash Ratio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Ratio!$AC$31:$AJ$31</c:f>
              <c:numCache>
                <c:formatCode>General</c:formatCode>
                <c:ptCount val="8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</c:numCache>
            </c:numRef>
          </c:cat>
          <c:val>
            <c:numRef>
              <c:f>Ratio!$AC$34:$AJ$34</c:f>
              <c:numCache>
                <c:formatCode>General</c:formatCode>
                <c:ptCount val="8"/>
                <c:pt idx="0">
                  <c:v>0.02</c:v>
                </c:pt>
                <c:pt idx="1">
                  <c:v>0.03</c:v>
                </c:pt>
                <c:pt idx="2">
                  <c:v>0.04</c:v>
                </c:pt>
                <c:pt idx="3">
                  <c:v>0.33</c:v>
                </c:pt>
                <c:pt idx="4">
                  <c:v>0.35</c:v>
                </c:pt>
                <c:pt idx="5">
                  <c:v>0.13</c:v>
                </c:pt>
                <c:pt idx="6">
                  <c:v>0.08</c:v>
                </c:pt>
                <c:pt idx="7">
                  <c:v>0.14000000000000001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E5-A44C-80EA-67D2125A5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5756160"/>
        <c:axId val="1292485056"/>
      </c:lineChart>
      <c:catAx>
        <c:axId val="116575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292485056"/>
        <c:crosses val="autoZero"/>
        <c:auto val="1"/>
        <c:lblAlgn val="ctr"/>
        <c:lblOffset val="100"/>
        <c:noMultiLvlLbl val="0"/>
      </c:catAx>
      <c:valAx>
        <c:axId val="1292485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165756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AR</a:t>
            </a:r>
            <a:r>
              <a:rPr lang="zh-CN" altLang="en-US"/>
              <a:t> </a:t>
            </a:r>
            <a:r>
              <a:rPr lang="en-US" altLang="zh-CN"/>
              <a:t>turnover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7.4902668416447937E-2"/>
          <c:y val="0.1439122193059201"/>
          <c:w val="0.90287510936132986"/>
          <c:h val="0.6150681685622631"/>
        </c:manualLayout>
      </c:layout>
      <c:lineChart>
        <c:grouping val="standard"/>
        <c:varyColors val="0"/>
        <c:ser>
          <c:idx val="0"/>
          <c:order val="0"/>
          <c:tx>
            <c:strRef>
              <c:f>Ratio!$AB$25:$AC$25</c:f>
              <c:strCache>
                <c:ptCount val="2"/>
                <c:pt idx="0">
                  <c:v>Accounts Receivable Turnover</c:v>
                </c:pt>
                <c:pt idx="1">
                  <c:v>IND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Ratio!$AD$25:$AK$25</c:f>
              <c:numCache>
                <c:formatCode>General</c:formatCode>
                <c:ptCount val="8"/>
                <c:pt idx="0">
                  <c:v>6.47</c:v>
                </c:pt>
                <c:pt idx="1">
                  <c:v>6.28</c:v>
                </c:pt>
                <c:pt idx="2">
                  <c:v>5.47</c:v>
                </c:pt>
                <c:pt idx="3">
                  <c:v>4.5</c:v>
                </c:pt>
                <c:pt idx="4">
                  <c:v>5.86</c:v>
                </c:pt>
                <c:pt idx="5">
                  <c:v>5.77</c:v>
                </c:pt>
                <c:pt idx="6">
                  <c:v>6.19</c:v>
                </c:pt>
                <c:pt idx="7">
                  <c:v>6.14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93-C54F-B318-C2884674E7EA}"/>
            </c:ext>
          </c:extLst>
        </c:ser>
        <c:ser>
          <c:idx val="1"/>
          <c:order val="1"/>
          <c:tx>
            <c:strRef>
              <c:f>Ratio!$AB$26:$AC$26</c:f>
              <c:strCache>
                <c:ptCount val="2"/>
                <c:pt idx="0">
                  <c:v>Accounts Receivable Turnover</c:v>
                </c:pt>
                <c:pt idx="1">
                  <c:v>FE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Ratio!$AD$26:$AK$26</c:f>
              <c:numCache>
                <c:formatCode>General</c:formatCode>
                <c:ptCount val="8"/>
                <c:pt idx="0">
                  <c:v>7.89</c:v>
                </c:pt>
                <c:pt idx="1">
                  <c:v>8.16</c:v>
                </c:pt>
                <c:pt idx="2">
                  <c:v>8.74</c:v>
                </c:pt>
                <c:pt idx="3">
                  <c:v>8.19</c:v>
                </c:pt>
                <c:pt idx="4">
                  <c:v>7.9</c:v>
                </c:pt>
                <c:pt idx="5">
                  <c:v>7.87</c:v>
                </c:pt>
                <c:pt idx="6">
                  <c:v>7.6</c:v>
                </c:pt>
                <c:pt idx="7">
                  <c:v>7.13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93-C54F-B318-C2884674E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7369792"/>
        <c:axId val="1367374720"/>
      </c:lineChart>
      <c:catAx>
        <c:axId val="13673697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367374720"/>
        <c:crosses val="autoZero"/>
        <c:auto val="1"/>
        <c:lblAlgn val="ctr"/>
        <c:lblOffset val="100"/>
        <c:noMultiLvlLbl val="0"/>
      </c:catAx>
      <c:valAx>
        <c:axId val="1367374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367369792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Ratio!$AB$52</c:f>
              <c:strCache>
                <c:ptCount val="1"/>
                <c:pt idx="0">
                  <c:v>Inventory Turnover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Ratio!$AC$47:$AJ$47</c:f>
              <c:numCache>
                <c:formatCode>General</c:formatCode>
                <c:ptCount val="8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</c:numCache>
            </c:numRef>
          </c:cat>
          <c:val>
            <c:numRef>
              <c:f>Ratio!$AC$52:$AJ$52</c:f>
              <c:numCache>
                <c:formatCode>General</c:formatCode>
                <c:ptCount val="8"/>
                <c:pt idx="0">
                  <c:v>11.23</c:v>
                </c:pt>
                <c:pt idx="1">
                  <c:v>13.09</c:v>
                </c:pt>
                <c:pt idx="2">
                  <c:v>17.53</c:v>
                </c:pt>
                <c:pt idx="3">
                  <c:v>16.45</c:v>
                </c:pt>
                <c:pt idx="4">
                  <c:v>14.53</c:v>
                </c:pt>
                <c:pt idx="5">
                  <c:v>17.43</c:v>
                </c:pt>
                <c:pt idx="6">
                  <c:v>19.600000000000001</c:v>
                </c:pt>
                <c:pt idx="7">
                  <c:v>11.13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4E-5346-8B1F-68B0AFE9B1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3222848"/>
        <c:axId val="1363229568"/>
      </c:lineChart>
      <c:catAx>
        <c:axId val="1363222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363229568"/>
        <c:crosses val="autoZero"/>
        <c:auto val="1"/>
        <c:lblAlgn val="ctr"/>
        <c:lblOffset val="100"/>
        <c:noMultiLvlLbl val="0"/>
      </c:catAx>
      <c:valAx>
        <c:axId val="1363229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36322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>
        <c:manualLayout>
          <c:layoutTarget val="inner"/>
          <c:xMode val="edge"/>
          <c:yMode val="edge"/>
          <c:x val="4.893326314288788E-2"/>
          <c:y val="0.16114099891651681"/>
          <c:w val="0.91451782218941946"/>
          <c:h val="0.72316462434669149"/>
        </c:manualLayout>
      </c:layout>
      <c:lineChart>
        <c:grouping val="standard"/>
        <c:varyColors val="0"/>
        <c:ser>
          <c:idx val="0"/>
          <c:order val="0"/>
          <c:tx>
            <c:strRef>
              <c:f>Ratio!$AB$50</c:f>
              <c:strCache>
                <c:ptCount val="1"/>
                <c:pt idx="0">
                  <c:v>Payables Turnover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Ratio!$AC$47:$AJ$47</c:f>
              <c:numCache>
                <c:formatCode>General</c:formatCode>
                <c:ptCount val="8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</c:numCache>
            </c:numRef>
          </c:cat>
          <c:val>
            <c:numRef>
              <c:f>Ratio!$AC$50:$AJ$50</c:f>
              <c:numCache>
                <c:formatCode>General</c:formatCode>
                <c:ptCount val="8"/>
                <c:pt idx="0">
                  <c:v>4.0599999999999996</c:v>
                </c:pt>
                <c:pt idx="1">
                  <c:v>4.26</c:v>
                </c:pt>
                <c:pt idx="2">
                  <c:v>4.88</c:v>
                </c:pt>
                <c:pt idx="3">
                  <c:v>5.36</c:v>
                </c:pt>
                <c:pt idx="4">
                  <c:v>4.74</c:v>
                </c:pt>
                <c:pt idx="5">
                  <c:v>4.71</c:v>
                </c:pt>
                <c:pt idx="6">
                  <c:v>5.34</c:v>
                </c:pt>
                <c:pt idx="7">
                  <c:v>4.76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9B-E04F-AE14-3356A6CBD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0491264"/>
        <c:axId val="1385464256"/>
      </c:lineChart>
      <c:catAx>
        <c:axId val="116049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385464256"/>
        <c:crosses val="autoZero"/>
        <c:auto val="1"/>
        <c:lblAlgn val="ctr"/>
        <c:lblOffset val="100"/>
        <c:noMultiLvlLbl val="0"/>
      </c:catAx>
      <c:valAx>
        <c:axId val="1385464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16049126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0</xdr:rowOff>
    </xdr:from>
    <xdr:to>
      <xdr:col>0</xdr:col>
      <xdr:colOff>9525</xdr:colOff>
      <xdr:row>0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8DB85EA-1F16-9558-1A66-E5A4D3D977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504825</xdr:colOff>
      <xdr:row>42</xdr:row>
      <xdr:rowOff>161925</xdr:rowOff>
    </xdr:from>
    <xdr:to>
      <xdr:col>13</xdr:col>
      <xdr:colOff>400050</xdr:colOff>
      <xdr:row>60</xdr:row>
      <xdr:rowOff>85725</xdr:rowOff>
    </xdr:to>
    <xdr:graphicFrame macro="">
      <xdr:nvGraphicFramePr>
        <xdr:cNvPr id="19" name="图表 6">
          <a:extLst>
            <a:ext uri="{FF2B5EF4-FFF2-40B4-BE49-F238E27FC236}">
              <a16:creationId xmlns:a16="http://schemas.microsoft.com/office/drawing/2014/main" id="{89242904-6767-CA9D-C045-2EBC3BDFA1B7}"/>
            </a:ext>
            <a:ext uri="{147F2762-F138-4A5C-976F-8EAC2B608ADB}">
              <a16:predDERef xmlns:a16="http://schemas.microsoft.com/office/drawing/2014/main" pred="{B8DB85EA-1F16-9558-1A66-E5A4D3D977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15971</xdr:colOff>
      <xdr:row>44</xdr:row>
      <xdr:rowOff>138545</xdr:rowOff>
    </xdr:from>
    <xdr:to>
      <xdr:col>33</xdr:col>
      <xdr:colOff>710045</xdr:colOff>
      <xdr:row>69</xdr:row>
      <xdr:rowOff>30401</xdr:rowOff>
    </xdr:to>
    <xdr:graphicFrame macro="">
      <xdr:nvGraphicFramePr>
        <xdr:cNvPr id="22" name="图表 3">
          <a:extLst>
            <a:ext uri="{FF2B5EF4-FFF2-40B4-BE49-F238E27FC236}">
              <a16:creationId xmlns:a16="http://schemas.microsoft.com/office/drawing/2014/main" id="{829C5690-5A22-35EC-7300-F21ED2443B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571499</xdr:colOff>
      <xdr:row>9</xdr:row>
      <xdr:rowOff>171450</xdr:rowOff>
    </xdr:from>
    <xdr:to>
      <xdr:col>10</xdr:col>
      <xdr:colOff>161924</xdr:colOff>
      <xdr:row>21</xdr:row>
      <xdr:rowOff>109537</xdr:rowOff>
    </xdr:to>
    <xdr:graphicFrame macro="">
      <xdr:nvGraphicFramePr>
        <xdr:cNvPr id="3" name="图表 1">
          <a:extLst>
            <a:ext uri="{FF2B5EF4-FFF2-40B4-BE49-F238E27FC236}">
              <a16:creationId xmlns:a16="http://schemas.microsoft.com/office/drawing/2014/main" id="{EA7B4875-D6AB-8FF5-3677-E2CAABF7BA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228600</xdr:colOff>
      <xdr:row>9</xdr:row>
      <xdr:rowOff>57150</xdr:rowOff>
    </xdr:from>
    <xdr:to>
      <xdr:col>17</xdr:col>
      <xdr:colOff>228600</xdr:colOff>
      <xdr:row>21</xdr:row>
      <xdr:rowOff>9525</xdr:rowOff>
    </xdr:to>
    <xdr:graphicFrame macro="">
      <xdr:nvGraphicFramePr>
        <xdr:cNvPr id="77" name="Chart 4">
          <a:extLst>
            <a:ext uri="{FF2B5EF4-FFF2-40B4-BE49-F238E27FC236}">
              <a16:creationId xmlns:a16="http://schemas.microsoft.com/office/drawing/2014/main" id="{14EC1563-AEB3-9C1D-418F-000D0746C799}"/>
            </a:ext>
            <a:ext uri="{147F2762-F138-4A5C-976F-8EAC2B608ADB}">
              <a16:predDERef xmlns:a16="http://schemas.microsoft.com/office/drawing/2014/main" pred="{EA7B4875-D6AB-8FF5-3677-E2CAABF7BA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187626</xdr:colOff>
      <xdr:row>0</xdr:row>
      <xdr:rowOff>267961</xdr:rowOff>
    </xdr:from>
    <xdr:to>
      <xdr:col>12</xdr:col>
      <xdr:colOff>251460</xdr:colOff>
      <xdr:row>10</xdr:row>
      <xdr:rowOff>167640</xdr:rowOff>
    </xdr:to>
    <xdr:sp macro="" textlink="">
      <xdr:nvSpPr>
        <xdr:cNvPr id="10" name="TextBox 1">
          <a:extLst>
            <a:ext uri="{FF2B5EF4-FFF2-40B4-BE49-F238E27FC236}">
              <a16:creationId xmlns:a16="http://schemas.microsoft.com/office/drawing/2014/main" id="{75E7E2FF-5468-4496-23D7-9B4F959FF0F3}"/>
            </a:ext>
          </a:extLst>
        </xdr:cNvPr>
        <xdr:cNvSpPr txBox="1"/>
      </xdr:nvSpPr>
      <xdr:spPr>
        <a:xfrm>
          <a:off x="4988226" y="267961"/>
          <a:ext cx="4331034" cy="22161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b="1"/>
            <a:t>Why these comparable multiples are used for valuing FirstEnergy:</a:t>
          </a:r>
          <a:endParaRPr lang="en-GB"/>
        </a:p>
        <a:p>
          <a:r>
            <a:rPr lang="en-GB" b="1"/>
            <a:t>EV/EBITDA</a:t>
          </a:r>
          <a:r>
            <a:rPr lang="en-GB"/>
            <a:t> is the most appropriate metric for regulated utilities because it reflects stable operating performance, removes accounting distortions (depreciation, regulatory amortizations), and accounts for utilities’ high leverage.</a:t>
          </a:r>
        </a:p>
        <a:p>
          <a:r>
            <a:rPr lang="en-GB" b="1"/>
            <a:t>P/E</a:t>
          </a:r>
          <a:r>
            <a:rPr lang="en-GB"/>
            <a:t> and </a:t>
          </a:r>
          <a:r>
            <a:rPr lang="en-GB" b="1"/>
            <a:t>P/CF</a:t>
          </a:r>
          <a:r>
            <a:rPr lang="en-GB"/>
            <a:t> are used as secondary checks, as they capture equity return and cash generation but may be influenced by non-recurring regulatory items.</a:t>
          </a:r>
        </a:p>
        <a:p>
          <a:r>
            <a:rPr lang="en-GB" b="1"/>
            <a:t>EV/Revenue</a:t>
          </a:r>
          <a:r>
            <a:rPr lang="en-GB"/>
            <a:t> is only used as a cross-check because revenue does not incorporate differences in rate-regulated returns or cost structure.</a:t>
          </a:r>
        </a:p>
        <a:p>
          <a:r>
            <a:rPr lang="en-GB" b="1"/>
            <a:t>P/B</a:t>
          </a:r>
          <a:r>
            <a:rPr lang="en-GB"/>
            <a:t> and </a:t>
          </a:r>
          <a:r>
            <a:rPr lang="en-GB" b="1"/>
            <a:t>P/S</a:t>
          </a:r>
          <a:r>
            <a:rPr lang="en-GB"/>
            <a:t> are not suitable because book value and sales do not reflect utilities’ true earnings power or regulated rate base.</a:t>
          </a:r>
        </a:p>
        <a:p>
          <a:endParaRPr lang="en-GB" sz="1100"/>
        </a:p>
      </xdr:txBody>
    </xdr:sp>
    <xdr:clientData/>
  </xdr:twoCellAnchor>
  <xdr:twoCellAnchor>
    <xdr:from>
      <xdr:col>1</xdr:col>
      <xdr:colOff>625804</xdr:colOff>
      <xdr:row>21</xdr:row>
      <xdr:rowOff>122961</xdr:rowOff>
    </xdr:from>
    <xdr:to>
      <xdr:col>7</xdr:col>
      <xdr:colOff>143090</xdr:colOff>
      <xdr:row>36</xdr:row>
      <xdr:rowOff>3788</xdr:rowOff>
    </xdr:to>
    <xdr:graphicFrame macro="">
      <xdr:nvGraphicFramePr>
        <xdr:cNvPr id="144" name="图表 2">
          <a:extLst>
            <a:ext uri="{FF2B5EF4-FFF2-40B4-BE49-F238E27FC236}">
              <a16:creationId xmlns:a16="http://schemas.microsoft.com/office/drawing/2014/main" id="{D15DF058-1508-AA7B-50DD-F89E369BD0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304996</xdr:colOff>
      <xdr:row>21</xdr:row>
      <xdr:rowOff>168089</xdr:rowOff>
    </xdr:from>
    <xdr:to>
      <xdr:col>12</xdr:col>
      <xdr:colOff>571501</xdr:colOff>
      <xdr:row>36</xdr:row>
      <xdr:rowOff>1</xdr:rowOff>
    </xdr:to>
    <xdr:graphicFrame macro="">
      <xdr:nvGraphicFramePr>
        <xdr:cNvPr id="148" name="图表 3">
          <a:extLst>
            <a:ext uri="{FF2B5EF4-FFF2-40B4-BE49-F238E27FC236}">
              <a16:creationId xmlns:a16="http://schemas.microsoft.com/office/drawing/2014/main" id="{055D8233-12A0-7FE6-BE43-A41D8E7287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694026</xdr:colOff>
      <xdr:row>22</xdr:row>
      <xdr:rowOff>28575</xdr:rowOff>
    </xdr:from>
    <xdr:to>
      <xdr:col>18</xdr:col>
      <xdr:colOff>247650</xdr:colOff>
      <xdr:row>35</xdr:row>
      <xdr:rowOff>76200</xdr:rowOff>
    </xdr:to>
    <xdr:graphicFrame macro="">
      <xdr:nvGraphicFramePr>
        <xdr:cNvPr id="140" name="图表 5">
          <a:extLst>
            <a:ext uri="{FF2B5EF4-FFF2-40B4-BE49-F238E27FC236}">
              <a16:creationId xmlns:a16="http://schemas.microsoft.com/office/drawing/2014/main" id="{C6BE3356-4033-B349-A36F-21972047CB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52</xdr:col>
      <xdr:colOff>477823</xdr:colOff>
      <xdr:row>11</xdr:row>
      <xdr:rowOff>86405</xdr:rowOff>
    </xdr:from>
    <xdr:to>
      <xdr:col>59</xdr:col>
      <xdr:colOff>334541</xdr:colOff>
      <xdr:row>17</xdr:row>
      <xdr:rowOff>329984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8167BB2-4157-879A-82DB-A323BD5B97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45</xdr:col>
      <xdr:colOff>383172</xdr:colOff>
      <xdr:row>11</xdr:row>
      <xdr:rowOff>158045</xdr:rowOff>
    </xdr:from>
    <xdr:to>
      <xdr:col>52</xdr:col>
      <xdr:colOff>239889</xdr:colOff>
      <xdr:row>17</xdr:row>
      <xdr:rowOff>372533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948056C-B8F7-573C-A0A4-1324E8BA76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37</xdr:col>
      <xdr:colOff>671905</xdr:colOff>
      <xdr:row>17</xdr:row>
      <xdr:rowOff>321733</xdr:rowOff>
    </xdr:from>
    <xdr:to>
      <xdr:col>44</xdr:col>
      <xdr:colOff>532965</xdr:colOff>
      <xdr:row>25</xdr:row>
      <xdr:rowOff>340403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A66E674-1F1F-7531-C72C-2C5FF94FF3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37</xdr:col>
      <xdr:colOff>571607</xdr:colOff>
      <xdr:row>20</xdr:row>
      <xdr:rowOff>510605</xdr:rowOff>
    </xdr:from>
    <xdr:to>
      <xdr:col>44</xdr:col>
      <xdr:colOff>432667</xdr:colOff>
      <xdr:row>27</xdr:row>
      <xdr:rowOff>7816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B15A141-2D7D-C65A-4382-656A86534E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36</xdr:col>
      <xdr:colOff>167163</xdr:colOff>
      <xdr:row>27</xdr:row>
      <xdr:rowOff>370580</xdr:rowOff>
    </xdr:from>
    <xdr:to>
      <xdr:col>43</xdr:col>
      <xdr:colOff>28223</xdr:colOff>
      <xdr:row>35</xdr:row>
      <xdr:rowOff>226429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3D201F9-EA7D-F37A-4426-41DC0325F5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45</xdr:col>
      <xdr:colOff>47761</xdr:colOff>
      <xdr:row>20</xdr:row>
      <xdr:rowOff>348871</xdr:rowOff>
    </xdr:from>
    <xdr:to>
      <xdr:col>51</xdr:col>
      <xdr:colOff>581812</xdr:colOff>
      <xdr:row>26</xdr:row>
      <xdr:rowOff>606345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45463E1-82A7-A51E-5E4A-2A58059311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36</xdr:col>
      <xdr:colOff>275711</xdr:colOff>
      <xdr:row>44</xdr:row>
      <xdr:rowOff>229467</xdr:rowOff>
    </xdr:from>
    <xdr:to>
      <xdr:col>43</xdr:col>
      <xdr:colOff>136771</xdr:colOff>
      <xdr:row>49</xdr:row>
      <xdr:rowOff>345830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384CE10-DC29-BCB0-BB0B-E79FD0F2CE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45</xdr:col>
      <xdr:colOff>552750</xdr:colOff>
      <xdr:row>43</xdr:row>
      <xdr:rowOff>337275</xdr:rowOff>
    </xdr:from>
    <xdr:to>
      <xdr:col>52</xdr:col>
      <xdr:colOff>422938</xdr:colOff>
      <xdr:row>48</xdr:row>
      <xdr:rowOff>302659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29D7B5C-1DAF-903F-E0F4-EF02094FA6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67"/>
  <sheetViews>
    <sheetView topLeftCell="A23" zoomScale="70" zoomScaleNormal="70" workbookViewId="0">
      <selection activeCell="B40" sqref="B40:I40"/>
    </sheetView>
  </sheetViews>
  <sheetFormatPr defaultColWidth="8.77734375" defaultRowHeight="14.4" outlineLevelRow="1"/>
  <cols>
    <col min="1" max="1" width="85.6640625" customWidth="1"/>
    <col min="2" max="11" width="15.6640625" customWidth="1"/>
  </cols>
  <sheetData>
    <row r="1" spans="1:11" ht="1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5" customHeight="1">
      <c r="A2" s="3" t="s">
        <v>0</v>
      </c>
      <c r="B2" s="4" t="s">
        <v>1</v>
      </c>
    </row>
    <row r="3" spans="1:11">
      <c r="A3" s="3" t="s">
        <v>2</v>
      </c>
      <c r="B3" s="3" t="s">
        <v>3</v>
      </c>
    </row>
    <row r="4" spans="1:11">
      <c r="A4" s="3" t="s">
        <v>4</v>
      </c>
      <c r="B4" s="3" t="s">
        <v>3</v>
      </c>
    </row>
    <row r="5" spans="1:11">
      <c r="A5" s="3" t="s">
        <v>5</v>
      </c>
      <c r="B5" s="3" t="s">
        <v>6</v>
      </c>
    </row>
    <row r="6" spans="1:11">
      <c r="A6" s="3" t="s">
        <v>7</v>
      </c>
      <c r="B6" s="3" t="s">
        <v>8</v>
      </c>
    </row>
    <row r="7" spans="1:11">
      <c r="A7" s="3" t="s">
        <v>9</v>
      </c>
      <c r="B7" s="3" t="s">
        <v>10</v>
      </c>
    </row>
    <row r="8" spans="1:11">
      <c r="A8" s="3" t="s">
        <v>11</v>
      </c>
      <c r="B8" s="3" t="s">
        <v>12</v>
      </c>
    </row>
    <row r="9" spans="1:11">
      <c r="A9" s="3" t="s">
        <v>13</v>
      </c>
      <c r="B9" s="3" t="s">
        <v>14</v>
      </c>
    </row>
    <row r="10" spans="1:11">
      <c r="A10" s="3" t="s">
        <v>15</v>
      </c>
      <c r="B10" s="5">
        <v>45975.877708240703</v>
      </c>
    </row>
    <row r="11" spans="1:11">
      <c r="A11" s="6" t="s">
        <v>16</v>
      </c>
      <c r="B11" s="211" t="s">
        <v>17</v>
      </c>
      <c r="C11" s="211" t="s">
        <v>18</v>
      </c>
      <c r="D11" s="211" t="s">
        <v>19</v>
      </c>
      <c r="E11" s="211" t="s">
        <v>20</v>
      </c>
      <c r="F11" s="211" t="s">
        <v>21</v>
      </c>
      <c r="G11" s="211" t="s">
        <v>22</v>
      </c>
      <c r="H11" s="211" t="s">
        <v>23</v>
      </c>
      <c r="I11" s="211" t="s">
        <v>24</v>
      </c>
      <c r="J11" s="211" t="s">
        <v>25</v>
      </c>
      <c r="K11" s="211" t="s">
        <v>26</v>
      </c>
    </row>
    <row r="12" spans="1:11" ht="15" customHeight="1" outlineLevel="1">
      <c r="A12" s="7" t="s">
        <v>27</v>
      </c>
      <c r="B12" s="209">
        <v>45657</v>
      </c>
      <c r="C12" s="209">
        <v>45291</v>
      </c>
      <c r="D12" s="209">
        <v>44926</v>
      </c>
      <c r="E12" s="209">
        <v>44561</v>
      </c>
      <c r="F12" s="209">
        <v>44196</v>
      </c>
      <c r="G12" s="209">
        <v>43830</v>
      </c>
      <c r="H12" s="209">
        <v>43465</v>
      </c>
      <c r="I12" s="209">
        <v>43100</v>
      </c>
      <c r="J12" s="209">
        <v>42735</v>
      </c>
      <c r="K12" s="209">
        <v>42369</v>
      </c>
    </row>
    <row r="13" spans="1:11" ht="15" customHeight="1" outlineLevel="1">
      <c r="A13" s="7" t="s">
        <v>28</v>
      </c>
      <c r="B13" s="209">
        <v>45656</v>
      </c>
      <c r="C13" s="209">
        <v>45290</v>
      </c>
      <c r="D13" s="209">
        <v>44925</v>
      </c>
      <c r="E13" s="209">
        <v>44560</v>
      </c>
      <c r="F13" s="209">
        <v>44195</v>
      </c>
      <c r="G13" s="209">
        <v>43829</v>
      </c>
      <c r="H13" s="209">
        <v>43464</v>
      </c>
      <c r="I13" s="209">
        <v>43464</v>
      </c>
      <c r="J13" s="209">
        <v>43464</v>
      </c>
      <c r="K13" s="209">
        <v>42368</v>
      </c>
    </row>
    <row r="14" spans="1:11" ht="15" customHeight="1" outlineLevel="1">
      <c r="A14" s="7" t="s">
        <v>29</v>
      </c>
      <c r="B14" s="210" t="s">
        <v>30</v>
      </c>
      <c r="C14" s="210" t="s">
        <v>30</v>
      </c>
      <c r="D14" s="210" t="s">
        <v>30</v>
      </c>
      <c r="E14" s="210" t="s">
        <v>30</v>
      </c>
      <c r="F14" s="210" t="s">
        <v>30</v>
      </c>
      <c r="G14" s="210" t="s">
        <v>30</v>
      </c>
      <c r="H14" s="210" t="s">
        <v>30</v>
      </c>
      <c r="I14" s="210" t="s">
        <v>30</v>
      </c>
      <c r="J14" s="210" t="s">
        <v>30</v>
      </c>
      <c r="K14" s="210" t="s">
        <v>30</v>
      </c>
    </row>
    <row r="15" spans="1:11" outlineLevel="1">
      <c r="A15" s="7" t="s">
        <v>31</v>
      </c>
      <c r="B15" s="210" t="s">
        <v>32</v>
      </c>
      <c r="C15" s="210" t="s">
        <v>32</v>
      </c>
      <c r="D15" s="210" t="s">
        <v>32</v>
      </c>
      <c r="E15" s="210" t="s">
        <v>32</v>
      </c>
      <c r="F15" s="210" t="s">
        <v>32</v>
      </c>
      <c r="G15" s="210" t="s">
        <v>32</v>
      </c>
      <c r="H15" s="210" t="s">
        <v>32</v>
      </c>
      <c r="I15" s="210" t="s">
        <v>32</v>
      </c>
      <c r="J15" s="210" t="s">
        <v>32</v>
      </c>
      <c r="K15" s="210" t="s">
        <v>32</v>
      </c>
    </row>
    <row r="16" spans="1:11" ht="15" customHeight="1" outlineLevel="1">
      <c r="A16" s="7" t="s">
        <v>33</v>
      </c>
      <c r="B16" s="208">
        <v>1.4379999999999999</v>
      </c>
      <c r="C16" s="208">
        <v>1.3245</v>
      </c>
      <c r="D16" s="208">
        <v>1.3549</v>
      </c>
      <c r="E16" s="208">
        <v>1.2634000000000001</v>
      </c>
      <c r="F16" s="208">
        <v>1.2729999999999999</v>
      </c>
      <c r="G16" s="208">
        <v>1.2986</v>
      </c>
      <c r="H16" s="208">
        <v>1.3636999999999999</v>
      </c>
      <c r="I16" s="208">
        <v>1.2577</v>
      </c>
      <c r="J16" s="208">
        <v>1.343</v>
      </c>
      <c r="K16" s="208">
        <v>1.3838999999999999</v>
      </c>
    </row>
    <row r="17" spans="1:11" ht="15" customHeight="1" outlineLevel="1">
      <c r="A17" s="7" t="s">
        <v>34</v>
      </c>
      <c r="B17" s="208">
        <v>1.37003196721311</v>
      </c>
      <c r="C17" s="208">
        <v>1.3493112328767101</v>
      </c>
      <c r="D17" s="208">
        <v>1.3016235616438401</v>
      </c>
      <c r="E17" s="208">
        <v>1.25345616438356</v>
      </c>
      <c r="F17" s="208">
        <v>1.3408480874316899</v>
      </c>
      <c r="G17" s="208">
        <v>1.3264150684931499</v>
      </c>
      <c r="H17" s="208">
        <v>1.2960156164383601</v>
      </c>
      <c r="I17" s="208">
        <v>1.2975704109588999</v>
      </c>
      <c r="J17" s="208">
        <v>1.3248434426229501</v>
      </c>
      <c r="K17" s="208">
        <v>1.27855397260274</v>
      </c>
    </row>
    <row r="19" spans="1:11">
      <c r="A19" s="8" t="s">
        <v>35</v>
      </c>
      <c r="B19" s="6"/>
      <c r="C19" s="6"/>
      <c r="D19" s="6"/>
      <c r="E19" s="6"/>
      <c r="F19" s="6"/>
      <c r="G19" s="6"/>
      <c r="H19" s="6"/>
      <c r="I19" s="6"/>
      <c r="J19" s="6"/>
      <c r="K19" s="6"/>
    </row>
    <row r="20" spans="1:11">
      <c r="A20" s="8" t="s">
        <v>36</v>
      </c>
      <c r="B20" s="9" t="s">
        <v>37</v>
      </c>
      <c r="C20" s="9" t="s">
        <v>38</v>
      </c>
      <c r="D20" s="9" t="s">
        <v>39</v>
      </c>
      <c r="E20" s="9" t="s">
        <v>40</v>
      </c>
      <c r="F20" s="9" t="s">
        <v>41</v>
      </c>
      <c r="G20" s="9" t="s">
        <v>42</v>
      </c>
      <c r="H20" s="9" t="s">
        <v>43</v>
      </c>
      <c r="I20" s="9" t="s">
        <v>44</v>
      </c>
      <c r="J20" s="9" t="s">
        <v>45</v>
      </c>
      <c r="K20" s="9" t="s">
        <v>46</v>
      </c>
    </row>
    <row r="21" spans="1:11" ht="15" customHeight="1">
      <c r="A21" s="10" t="s">
        <v>47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1:11" ht="15" customHeight="1">
      <c r="A22" s="12" t="s">
        <v>48</v>
      </c>
      <c r="B22" s="24">
        <v>4.2699999999999996</v>
      </c>
      <c r="C22" s="24">
        <v>4.3600000000000003</v>
      </c>
      <c r="D22" s="24">
        <v>3.72</v>
      </c>
      <c r="E22" s="24">
        <v>3.75</v>
      </c>
      <c r="F22" s="24">
        <v>5.0999999999999996</v>
      </c>
      <c r="G22" s="24">
        <v>3.15</v>
      </c>
      <c r="H22" s="24">
        <v>4.8499999999999996</v>
      </c>
      <c r="I22" s="24">
        <v>4.7</v>
      </c>
      <c r="J22" s="24">
        <v>4.6500000000000004</v>
      </c>
      <c r="K22" s="24">
        <v>4.54</v>
      </c>
    </row>
    <row r="23" spans="1:11" ht="15" customHeight="1">
      <c r="A23" s="12" t="s">
        <v>49</v>
      </c>
      <c r="B23" s="24">
        <v>4.2699999999999996</v>
      </c>
      <c r="C23" s="24">
        <v>4.3600000000000003</v>
      </c>
      <c r="D23" s="24">
        <v>3.72</v>
      </c>
      <c r="E23" s="24">
        <v>3.75</v>
      </c>
      <c r="F23" s="24">
        <v>5.0999999999999996</v>
      </c>
      <c r="G23" s="24">
        <v>3.15</v>
      </c>
      <c r="H23" s="24">
        <v>4.8499999999999996</v>
      </c>
      <c r="I23" s="24">
        <v>4.7</v>
      </c>
      <c r="J23" s="24">
        <v>4.6500000000000004</v>
      </c>
      <c r="K23" s="24">
        <v>4.54</v>
      </c>
    </row>
    <row r="24" spans="1:11" ht="15" customHeight="1">
      <c r="A24" s="12" t="s">
        <v>50</v>
      </c>
      <c r="B24" s="25">
        <v>577</v>
      </c>
      <c r="C24" s="25">
        <v>574</v>
      </c>
      <c r="D24" s="25">
        <v>572</v>
      </c>
      <c r="E24" s="25">
        <v>546</v>
      </c>
      <c r="F24" s="25">
        <v>543</v>
      </c>
      <c r="G24" s="25">
        <v>542</v>
      </c>
      <c r="H24" s="25">
        <v>494</v>
      </c>
      <c r="I24" s="25">
        <v>444</v>
      </c>
      <c r="J24" s="25">
        <v>426</v>
      </c>
      <c r="K24" s="25">
        <v>424</v>
      </c>
    </row>
    <row r="25" spans="1:11" ht="15" customHeight="1">
      <c r="A25" s="10" t="s">
        <v>51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1:11" ht="15" customHeight="1">
      <c r="A26" s="12" t="s">
        <v>52</v>
      </c>
      <c r="B26" s="24">
        <v>55.78</v>
      </c>
      <c r="C26" s="24">
        <v>52.55</v>
      </c>
      <c r="D26" s="24">
        <v>52.1</v>
      </c>
      <c r="E26" s="24">
        <v>57.36</v>
      </c>
      <c r="F26" s="24">
        <v>59.74</v>
      </c>
      <c r="G26" s="24">
        <v>57.92</v>
      </c>
      <c r="H26" s="24">
        <v>57.53</v>
      </c>
      <c r="I26" s="24">
        <v>59.28</v>
      </c>
      <c r="J26" s="24">
        <v>55.01</v>
      </c>
      <c r="K26" s="24">
        <v>50.39</v>
      </c>
    </row>
    <row r="27" spans="1:11" ht="15" customHeight="1">
      <c r="A27" s="12" t="s">
        <v>53</v>
      </c>
      <c r="B27" s="24">
        <v>29.42</v>
      </c>
      <c r="C27" s="24">
        <v>28.96</v>
      </c>
      <c r="D27" s="24">
        <v>26.37</v>
      </c>
      <c r="E27" s="24">
        <v>28.91</v>
      </c>
      <c r="F27" s="24">
        <v>31.84</v>
      </c>
      <c r="G27" s="24">
        <v>33.799999999999997</v>
      </c>
      <c r="H27" s="24">
        <v>32.380000000000003</v>
      </c>
      <c r="I27" s="24">
        <v>31.99</v>
      </c>
      <c r="J27" s="24">
        <v>28.32</v>
      </c>
      <c r="K27" s="24">
        <v>29.81</v>
      </c>
    </row>
    <row r="28" spans="1:11" ht="15" customHeight="1">
      <c r="A28" s="12" t="s">
        <v>54</v>
      </c>
      <c r="B28" s="24">
        <v>17.63</v>
      </c>
      <c r="C28" s="24">
        <v>17.61</v>
      </c>
      <c r="D28" s="24">
        <v>15.33</v>
      </c>
      <c r="E28" s="24">
        <v>14.53</v>
      </c>
      <c r="F28" s="24">
        <v>20.04</v>
      </c>
      <c r="G28" s="24">
        <v>22.75</v>
      </c>
      <c r="H28" s="24">
        <v>22.22</v>
      </c>
      <c r="I28" s="24">
        <v>22.59</v>
      </c>
      <c r="J28" s="24">
        <v>19.600000000000001</v>
      </c>
      <c r="K28" s="24">
        <v>16.66</v>
      </c>
    </row>
    <row r="29" spans="1:11" ht="15" customHeight="1">
      <c r="A29" s="12" t="s">
        <v>55</v>
      </c>
      <c r="B29" s="24">
        <v>11.16</v>
      </c>
      <c r="C29" s="24">
        <v>11.38</v>
      </c>
      <c r="D29" s="24">
        <v>11.55</v>
      </c>
      <c r="E29" s="24">
        <v>14</v>
      </c>
      <c r="F29" s="24">
        <v>10.46</v>
      </c>
      <c r="G29" s="24">
        <v>10.119999999999999</v>
      </c>
      <c r="H29" s="24">
        <v>13.43</v>
      </c>
      <c r="I29" s="24">
        <v>13.05</v>
      </c>
      <c r="J29" s="24">
        <v>10.07</v>
      </c>
      <c r="K29" s="24">
        <v>5.94</v>
      </c>
    </row>
    <row r="30" spans="1:11" ht="15" customHeight="1">
      <c r="A30" s="12" t="s">
        <v>56</v>
      </c>
      <c r="B30" s="24">
        <v>25.07</v>
      </c>
      <c r="C30" s="24">
        <v>18.239999999999998</v>
      </c>
      <c r="D30" s="24">
        <v>69.489999999999995</v>
      </c>
      <c r="E30" s="24">
        <v>20.53</v>
      </c>
      <c r="F30" s="24">
        <v>11.16</v>
      </c>
      <c r="G30" s="24">
        <v>19.07</v>
      </c>
      <c r="H30" s="24">
        <v>30.82</v>
      </c>
      <c r="I30" s="24">
        <v>36.61</v>
      </c>
      <c r="J30" s="24">
        <v>48.89</v>
      </c>
      <c r="K30" s="24">
        <v>35.270000000000003</v>
      </c>
    </row>
    <row r="31" spans="1:11" ht="15" customHeight="1">
      <c r="A31" s="12" t="s">
        <v>57</v>
      </c>
      <c r="B31" s="24">
        <v>8.3699999999999992</v>
      </c>
      <c r="C31" s="24">
        <v>9.3000000000000007</v>
      </c>
      <c r="D31" s="24">
        <v>3.52</v>
      </c>
      <c r="E31" s="24">
        <v>11.13</v>
      </c>
      <c r="F31" s="24">
        <v>9.3000000000000007</v>
      </c>
      <c r="G31" s="24">
        <v>8.19</v>
      </c>
      <c r="H31" s="24">
        <v>9.2899999999999991</v>
      </c>
      <c r="I31" s="24">
        <v>8.27</v>
      </c>
      <c r="J31" s="24">
        <v>5.15</v>
      </c>
      <c r="K31" s="24">
        <v>3.85</v>
      </c>
    </row>
    <row r="32" spans="1:11" ht="15" customHeight="1">
      <c r="A32" s="12" t="s">
        <v>58</v>
      </c>
      <c r="B32" s="24">
        <v>8.5399999999999991</v>
      </c>
      <c r="C32" s="24">
        <v>10.9</v>
      </c>
      <c r="D32" s="24">
        <v>4.3099999999999996</v>
      </c>
      <c r="E32" s="24">
        <v>15.57</v>
      </c>
      <c r="F32" s="24">
        <v>14.11</v>
      </c>
      <c r="G32" s="24">
        <v>13.12</v>
      </c>
      <c r="H32" s="24">
        <v>12.73</v>
      </c>
      <c r="I32" s="24">
        <v>17.78</v>
      </c>
      <c r="J32" s="24">
        <v>5.91</v>
      </c>
      <c r="K32" s="24">
        <v>4.6500000000000004</v>
      </c>
    </row>
    <row r="33" spans="1:11" ht="15" customHeight="1">
      <c r="A33" s="12" t="s">
        <v>59</v>
      </c>
      <c r="B33" s="24">
        <v>2.2400000000000002</v>
      </c>
      <c r="C33" s="24">
        <v>2.52</v>
      </c>
      <c r="D33" s="24">
        <v>0.96</v>
      </c>
      <c r="E33" s="24">
        <v>2.76</v>
      </c>
      <c r="F33" s="24">
        <v>2.31</v>
      </c>
      <c r="G33" s="24">
        <v>2.2000000000000002</v>
      </c>
      <c r="H33" s="24">
        <v>2.54</v>
      </c>
      <c r="I33" s="24">
        <v>2.12</v>
      </c>
      <c r="J33" s="24">
        <v>1.1599999999999999</v>
      </c>
      <c r="K33" s="24">
        <v>1.1100000000000001</v>
      </c>
    </row>
    <row r="34" spans="1:11" ht="15" customHeight="1">
      <c r="A34" s="12" t="s">
        <v>60</v>
      </c>
      <c r="B34" s="24">
        <v>4.72</v>
      </c>
      <c r="C34" s="24">
        <v>5.7</v>
      </c>
      <c r="D34" s="24">
        <v>2.15</v>
      </c>
      <c r="E34" s="24">
        <v>6.63</v>
      </c>
      <c r="F34" s="24">
        <v>6.56</v>
      </c>
      <c r="G34" s="24">
        <v>6.23</v>
      </c>
      <c r="H34" s="24">
        <v>8.34</v>
      </c>
      <c r="I34" s="13">
        <v>-4.29</v>
      </c>
      <c r="J34" s="13">
        <v>-18.07</v>
      </c>
      <c r="K34" s="24">
        <v>3.6</v>
      </c>
    </row>
    <row r="35" spans="1:11" ht="15" customHeight="1">
      <c r="A35" s="10" t="s">
        <v>61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spans="1:11" ht="15" customHeight="1">
      <c r="A36" s="12" t="s">
        <v>62</v>
      </c>
      <c r="B36" s="25">
        <v>576.61</v>
      </c>
      <c r="C36" s="25">
        <v>574.34</v>
      </c>
      <c r="D36" s="25">
        <v>572.13</v>
      </c>
      <c r="E36" s="25">
        <v>570.26</v>
      </c>
      <c r="F36" s="25">
        <v>543.12</v>
      </c>
      <c r="G36" s="25">
        <v>540.65</v>
      </c>
      <c r="H36" s="25">
        <v>511.92</v>
      </c>
      <c r="I36" s="25">
        <v>445.33</v>
      </c>
      <c r="J36" s="25">
        <v>442.34</v>
      </c>
      <c r="K36" s="25">
        <v>423.56</v>
      </c>
    </row>
    <row r="37" spans="1:11" ht="15" customHeight="1">
      <c r="A37" s="10" t="s">
        <v>63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 spans="1:11" ht="15" customHeight="1">
      <c r="A38" s="12" t="s">
        <v>64</v>
      </c>
      <c r="B38" s="24">
        <v>46.16</v>
      </c>
      <c r="C38" s="24">
        <v>51.08</v>
      </c>
      <c r="D38" s="24">
        <v>46.96</v>
      </c>
      <c r="E38" s="24">
        <v>52.5</v>
      </c>
      <c r="F38" s="24">
        <v>55.05</v>
      </c>
      <c r="G38" s="24">
        <v>49.64</v>
      </c>
      <c r="H38" s="24">
        <v>48.68</v>
      </c>
      <c r="I38" s="24">
        <v>46.25</v>
      </c>
      <c r="J38" s="24">
        <v>52.27</v>
      </c>
      <c r="K38" s="24">
        <v>42.18</v>
      </c>
    </row>
    <row r="39" spans="1:11" ht="15" customHeight="1">
      <c r="A39" s="12" t="s">
        <v>65</v>
      </c>
      <c r="B39" s="24">
        <v>63.65</v>
      </c>
      <c r="C39" s="24">
        <v>69.53</v>
      </c>
      <c r="D39" s="24">
        <v>67.05</v>
      </c>
      <c r="E39" s="24">
        <v>73.33</v>
      </c>
      <c r="F39" s="24">
        <v>77.180000000000007</v>
      </c>
      <c r="G39" s="24">
        <v>75.069999999999993</v>
      </c>
      <c r="H39" s="24">
        <v>74.11</v>
      </c>
      <c r="I39" s="24">
        <v>83.28</v>
      </c>
      <c r="J39" s="24">
        <v>78.319999999999993</v>
      </c>
      <c r="K39" s="24">
        <v>63.88</v>
      </c>
    </row>
    <row r="40" spans="1:11" ht="15" customHeight="1">
      <c r="A40" s="12" t="s">
        <v>66</v>
      </c>
      <c r="B40" s="24">
        <v>175.09</v>
      </c>
      <c r="C40" s="24">
        <v>228.2</v>
      </c>
      <c r="D40" s="24">
        <v>203.46</v>
      </c>
      <c r="E40" s="24">
        <v>274.97000000000003</v>
      </c>
      <c r="F40" s="24">
        <v>338.22</v>
      </c>
      <c r="G40" s="24">
        <v>301.05</v>
      </c>
      <c r="H40" s="24">
        <v>286.23</v>
      </c>
      <c r="I40" s="24">
        <v>497.96</v>
      </c>
      <c r="J40" s="24">
        <v>361.35</v>
      </c>
      <c r="K40" s="24">
        <v>176.89</v>
      </c>
    </row>
    <row r="41" spans="1:11" ht="15" customHeight="1">
      <c r="A41" s="12" t="s">
        <v>67</v>
      </c>
      <c r="B41" s="24">
        <v>223.91</v>
      </c>
      <c r="C41" s="24">
        <v>172.77</v>
      </c>
      <c r="D41" s="24">
        <v>368.68</v>
      </c>
      <c r="E41" s="24">
        <v>354.96</v>
      </c>
      <c r="F41" s="24">
        <v>192.64</v>
      </c>
      <c r="G41" s="24">
        <v>160.22999999999999</v>
      </c>
      <c r="H41" s="24">
        <v>198.03</v>
      </c>
      <c r="I41" s="24">
        <v>340.21</v>
      </c>
      <c r="J41" s="24">
        <v>651.58000000000004</v>
      </c>
      <c r="K41" s="24">
        <v>326.11</v>
      </c>
    </row>
    <row r="42" spans="1:11" ht="15" customHeight="1">
      <c r="A42" s="12" t="s">
        <v>68</v>
      </c>
      <c r="B42" s="26">
        <v>2.35</v>
      </c>
      <c r="C42" s="26">
        <v>2.21</v>
      </c>
      <c r="D42" s="26">
        <v>2</v>
      </c>
      <c r="E42" s="26">
        <v>1.52</v>
      </c>
      <c r="F42" s="26">
        <v>2.19</v>
      </c>
      <c r="G42" s="26">
        <v>2.61</v>
      </c>
      <c r="H42" s="26">
        <v>2.38</v>
      </c>
      <c r="I42" s="26">
        <v>2.59</v>
      </c>
      <c r="J42" s="26">
        <v>2.2799999999999998</v>
      </c>
      <c r="K42" s="26">
        <v>2.4700000000000002</v>
      </c>
    </row>
    <row r="43" spans="1:11" ht="15" customHeight="1">
      <c r="A43" s="12" t="s">
        <v>69</v>
      </c>
      <c r="B43" s="24">
        <v>99.9</v>
      </c>
      <c r="C43" s="24">
        <v>122.46</v>
      </c>
      <c r="D43" s="24">
        <v>45.52</v>
      </c>
      <c r="E43" s="24">
        <v>144.24</v>
      </c>
      <c r="F43" s="24">
        <v>118.56</v>
      </c>
      <c r="G43" s="24">
        <v>110.57</v>
      </c>
      <c r="H43" s="24">
        <v>95.5</v>
      </c>
      <c r="I43" s="24">
        <v>141.47</v>
      </c>
      <c r="J43" s="24">
        <v>90.18</v>
      </c>
      <c r="K43" s="24">
        <v>95.22</v>
      </c>
    </row>
    <row r="44" spans="1:11" ht="15" customHeight="1">
      <c r="A44" s="12" t="s">
        <v>70</v>
      </c>
      <c r="B44" s="14">
        <v>0</v>
      </c>
      <c r="C44" s="26">
        <v>0.18</v>
      </c>
      <c r="D44" s="15">
        <v>-1.2</v>
      </c>
      <c r="E44" s="26">
        <v>0.31</v>
      </c>
      <c r="F44" s="26">
        <v>0.16</v>
      </c>
      <c r="G44" s="26">
        <v>0.1</v>
      </c>
      <c r="H44" s="15">
        <v>-0.05</v>
      </c>
      <c r="I44" s="26">
        <v>0.28999999999999998</v>
      </c>
      <c r="J44" s="15">
        <v>-0.11</v>
      </c>
      <c r="K44" s="15">
        <v>-0.05</v>
      </c>
    </row>
    <row r="45" spans="1:11" ht="15" customHeight="1">
      <c r="A45" s="12" t="s">
        <v>71</v>
      </c>
      <c r="B45" s="24">
        <v>100.1</v>
      </c>
      <c r="C45" s="24">
        <v>81.66</v>
      </c>
      <c r="D45" s="24">
        <v>219.7</v>
      </c>
      <c r="E45" s="24">
        <v>69.33</v>
      </c>
      <c r="F45" s="24">
        <v>84.35</v>
      </c>
      <c r="G45" s="24">
        <v>90.44</v>
      </c>
      <c r="H45" s="24">
        <v>104.71</v>
      </c>
      <c r="I45" s="24">
        <v>70.69</v>
      </c>
      <c r="J45" s="24">
        <v>110.89</v>
      </c>
      <c r="K45" s="24">
        <v>105.02</v>
      </c>
    </row>
    <row r="46" spans="1:11" ht="15" customHeight="1">
      <c r="A46" s="10" t="s">
        <v>72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 spans="1:11" ht="15" customHeight="1">
      <c r="A47" s="12" t="s">
        <v>73</v>
      </c>
      <c r="B47" s="26">
        <v>0.27</v>
      </c>
      <c r="C47" s="26">
        <v>0.27</v>
      </c>
      <c r="D47" s="26">
        <v>0.27</v>
      </c>
      <c r="E47" s="26">
        <v>0.25</v>
      </c>
      <c r="F47" s="26">
        <v>0.25</v>
      </c>
      <c r="G47" s="26">
        <v>0.27</v>
      </c>
      <c r="H47" s="26">
        <v>0.27</v>
      </c>
      <c r="I47" s="26">
        <v>0.26</v>
      </c>
      <c r="J47" s="26">
        <v>0.22</v>
      </c>
      <c r="K47" s="26">
        <v>0.28999999999999998</v>
      </c>
    </row>
    <row r="48" spans="1:11" ht="15" customHeight="1">
      <c r="A48" s="12" t="s">
        <v>55</v>
      </c>
      <c r="B48" s="24">
        <v>11.16</v>
      </c>
      <c r="C48" s="24">
        <v>11.38</v>
      </c>
      <c r="D48" s="24">
        <v>11.55</v>
      </c>
      <c r="E48" s="24">
        <v>14</v>
      </c>
      <c r="F48" s="24">
        <v>10.46</v>
      </c>
      <c r="G48" s="24">
        <v>10.119999999999999</v>
      </c>
      <c r="H48" s="24">
        <v>13.43</v>
      </c>
      <c r="I48" s="24">
        <v>13.05</v>
      </c>
      <c r="J48" s="24">
        <v>10.07</v>
      </c>
      <c r="K48" s="24">
        <v>5.94</v>
      </c>
    </row>
    <row r="49" spans="1:11" ht="15" customHeight="1">
      <c r="A49" s="12" t="s">
        <v>74</v>
      </c>
      <c r="B49" s="24">
        <v>2.98</v>
      </c>
      <c r="C49" s="24">
        <v>3.09</v>
      </c>
      <c r="D49" s="24">
        <v>3.14</v>
      </c>
      <c r="E49" s="24">
        <v>3.47</v>
      </c>
      <c r="F49" s="24">
        <v>2.6</v>
      </c>
      <c r="G49" s="24">
        <v>2.71</v>
      </c>
      <c r="H49" s="24">
        <v>3.67</v>
      </c>
      <c r="I49" s="24">
        <v>3.34</v>
      </c>
      <c r="J49" s="24">
        <v>2.2599999999999998</v>
      </c>
      <c r="K49" s="24">
        <v>1.72</v>
      </c>
    </row>
    <row r="50" spans="1:11" ht="15" customHeight="1">
      <c r="A50" s="12" t="s">
        <v>75</v>
      </c>
      <c r="B50" s="26">
        <v>4.09</v>
      </c>
      <c r="C50" s="26">
        <v>4.4000000000000004</v>
      </c>
      <c r="D50" s="26">
        <v>4.74</v>
      </c>
      <c r="E50" s="26">
        <v>5.65</v>
      </c>
      <c r="F50" s="26">
        <v>6.11</v>
      </c>
      <c r="G50" s="26">
        <v>5.97</v>
      </c>
      <c r="H50" s="26">
        <v>7.67</v>
      </c>
      <c r="I50" s="26">
        <v>8.4</v>
      </c>
      <c r="J50" s="26">
        <v>5.0999999999999996</v>
      </c>
      <c r="K50" s="26">
        <v>4.18</v>
      </c>
    </row>
    <row r="51" spans="1:11" ht="15" customHeight="1">
      <c r="A51" s="12" t="s">
        <v>76</v>
      </c>
      <c r="B51" s="24">
        <v>12.21</v>
      </c>
      <c r="C51" s="24">
        <v>13.58</v>
      </c>
      <c r="D51" s="24">
        <v>14.9</v>
      </c>
      <c r="E51" s="24">
        <v>19.600000000000001</v>
      </c>
      <c r="F51" s="24">
        <v>15.89</v>
      </c>
      <c r="G51" s="24">
        <v>16.2</v>
      </c>
      <c r="H51" s="24">
        <v>28.16</v>
      </c>
      <c r="I51" s="24">
        <v>28.05</v>
      </c>
      <c r="J51" s="24">
        <v>11.55</v>
      </c>
      <c r="K51" s="24">
        <v>7.19</v>
      </c>
    </row>
    <row r="52" spans="1:11" ht="15" customHeight="1">
      <c r="A52" s="12" t="s">
        <v>77</v>
      </c>
      <c r="B52" s="26">
        <v>0.75</v>
      </c>
      <c r="C52" s="26">
        <v>0.82</v>
      </c>
      <c r="D52" s="26">
        <v>0.31</v>
      </c>
      <c r="E52" s="26">
        <v>0.79</v>
      </c>
      <c r="F52" s="26">
        <v>0.89</v>
      </c>
      <c r="G52" s="26">
        <v>0.81</v>
      </c>
      <c r="H52" s="26">
        <v>0.69</v>
      </c>
      <c r="I52" s="26">
        <v>0.63</v>
      </c>
      <c r="J52" s="26">
        <v>0.51</v>
      </c>
      <c r="K52" s="26">
        <v>0.65</v>
      </c>
    </row>
    <row r="53" spans="1:11" ht="15" customHeight="1">
      <c r="A53" s="12" t="s">
        <v>58</v>
      </c>
      <c r="B53" s="24">
        <v>8.5399999999999991</v>
      </c>
      <c r="C53" s="24">
        <v>10.9</v>
      </c>
      <c r="D53" s="24">
        <v>4.3099999999999996</v>
      </c>
      <c r="E53" s="24">
        <v>15.57</v>
      </c>
      <c r="F53" s="24">
        <v>14.11</v>
      </c>
      <c r="G53" s="24">
        <v>13.12</v>
      </c>
      <c r="H53" s="24">
        <v>12.73</v>
      </c>
      <c r="I53" s="24">
        <v>17.78</v>
      </c>
      <c r="J53" s="24">
        <v>5.91</v>
      </c>
      <c r="K53" s="24">
        <v>4.6500000000000004</v>
      </c>
    </row>
    <row r="54" spans="1:11" ht="15" customHeight="1">
      <c r="A54" s="12" t="s">
        <v>70</v>
      </c>
      <c r="B54" s="14">
        <v>0</v>
      </c>
      <c r="C54" s="26">
        <v>0.18</v>
      </c>
      <c r="D54" s="15">
        <v>-1.2</v>
      </c>
      <c r="E54" s="26">
        <v>0.31</v>
      </c>
      <c r="F54" s="26">
        <v>0.16</v>
      </c>
      <c r="G54" s="26">
        <v>0.1</v>
      </c>
      <c r="H54" s="15">
        <v>-0.05</v>
      </c>
      <c r="I54" s="26">
        <v>0.28999999999999998</v>
      </c>
      <c r="J54" s="15">
        <v>-0.11</v>
      </c>
      <c r="K54" s="15">
        <v>-0.05</v>
      </c>
    </row>
    <row r="55" spans="1:11" ht="15" customHeight="1">
      <c r="A55" s="12" t="s">
        <v>78</v>
      </c>
      <c r="B55" s="13">
        <v>-0.01</v>
      </c>
      <c r="C55" s="24">
        <v>2</v>
      </c>
      <c r="D55" s="13">
        <v>-5.16</v>
      </c>
      <c r="E55" s="24">
        <v>4.78</v>
      </c>
      <c r="F55" s="24">
        <v>2.21</v>
      </c>
      <c r="G55" s="24">
        <v>1.25</v>
      </c>
      <c r="H55" s="13">
        <v>-0.6</v>
      </c>
      <c r="I55" s="24">
        <v>5.21</v>
      </c>
      <c r="J55" s="13">
        <v>-0.64</v>
      </c>
      <c r="K55" s="13">
        <v>-0.23</v>
      </c>
    </row>
    <row r="56" spans="1:11" ht="15" customHeight="1">
      <c r="A56" s="10" t="s">
        <v>79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</row>
    <row r="57" spans="1:11" ht="15" customHeight="1">
      <c r="A57" s="12" t="s">
        <v>80</v>
      </c>
      <c r="B57" s="26">
        <v>0.56000000000000005</v>
      </c>
      <c r="C57" s="26">
        <v>0.48</v>
      </c>
      <c r="D57" s="26">
        <v>0.61</v>
      </c>
      <c r="E57" s="26">
        <v>0.73</v>
      </c>
      <c r="F57" s="26">
        <v>0.74</v>
      </c>
      <c r="G57" s="26">
        <v>0.5</v>
      </c>
      <c r="H57" s="26">
        <v>0.52</v>
      </c>
      <c r="I57" s="26">
        <v>0.76</v>
      </c>
      <c r="J57" s="26">
        <v>0.41</v>
      </c>
      <c r="K57" s="26">
        <v>0.54</v>
      </c>
    </row>
    <row r="58" spans="1:11" ht="15" customHeight="1">
      <c r="A58" s="12" t="s">
        <v>81</v>
      </c>
      <c r="B58" s="26">
        <v>0.45</v>
      </c>
      <c r="C58" s="26">
        <v>0.38</v>
      </c>
      <c r="D58" s="26">
        <v>0.5</v>
      </c>
      <c r="E58" s="26">
        <v>0.67</v>
      </c>
      <c r="F58" s="26">
        <v>0.68</v>
      </c>
      <c r="G58" s="26">
        <v>0.44</v>
      </c>
      <c r="H58" s="26">
        <v>0.46</v>
      </c>
      <c r="I58" s="26">
        <v>0.7</v>
      </c>
      <c r="J58" s="26">
        <v>0.33</v>
      </c>
      <c r="K58" s="26">
        <v>0.4</v>
      </c>
    </row>
    <row r="59" spans="1:11" ht="15" customHeight="1">
      <c r="A59" s="12" t="s">
        <v>82</v>
      </c>
      <c r="B59" s="15">
        <v>-0.04</v>
      </c>
      <c r="C59" s="15">
        <v>-0.06</v>
      </c>
      <c r="D59" s="15">
        <v>-0.03</v>
      </c>
      <c r="E59" s="15">
        <v>-0.03</v>
      </c>
      <c r="F59" s="15">
        <v>-0.03</v>
      </c>
      <c r="G59" s="15">
        <v>-0.06</v>
      </c>
      <c r="H59" s="15">
        <v>-0.06</v>
      </c>
      <c r="I59" s="15">
        <v>-0.02</v>
      </c>
      <c r="J59" s="15">
        <v>-0.1</v>
      </c>
      <c r="K59" s="15">
        <v>-0.05</v>
      </c>
    </row>
    <row r="60" spans="1:11" ht="15" customHeight="1">
      <c r="A60" s="10" t="s">
        <v>83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</row>
    <row r="61" spans="1:11" ht="15" customHeight="1">
      <c r="A61" s="12" t="s">
        <v>84</v>
      </c>
      <c r="B61" s="26">
        <v>7.89</v>
      </c>
      <c r="C61" s="26">
        <v>8.16</v>
      </c>
      <c r="D61" s="26">
        <v>8.74</v>
      </c>
      <c r="E61" s="26">
        <v>8.19</v>
      </c>
      <c r="F61" s="26">
        <v>7.9</v>
      </c>
      <c r="G61" s="26">
        <v>7.87</v>
      </c>
      <c r="H61" s="26">
        <v>7.6</v>
      </c>
      <c r="I61" s="26">
        <v>7.13</v>
      </c>
      <c r="J61" s="26">
        <v>6.67</v>
      </c>
      <c r="K61" s="26">
        <v>8.91</v>
      </c>
    </row>
    <row r="62" spans="1:11" ht="15" customHeight="1">
      <c r="A62" s="12" t="s">
        <v>85</v>
      </c>
      <c r="B62" s="26">
        <v>46.42</v>
      </c>
      <c r="C62" s="26">
        <v>44.86</v>
      </c>
      <c r="D62" s="26">
        <v>41.86</v>
      </c>
      <c r="E62" s="26">
        <v>44.68</v>
      </c>
      <c r="F62" s="26">
        <v>46.35</v>
      </c>
      <c r="G62" s="26">
        <v>46.52</v>
      </c>
      <c r="H62" s="26">
        <v>48.15</v>
      </c>
      <c r="I62" s="26">
        <v>51.36</v>
      </c>
      <c r="J62" s="26">
        <v>54.9</v>
      </c>
      <c r="K62" s="26">
        <v>41.09</v>
      </c>
    </row>
    <row r="63" spans="1:11" ht="15" customHeight="1">
      <c r="A63" s="12" t="s">
        <v>86</v>
      </c>
      <c r="B63" s="26">
        <v>4.0599999999999996</v>
      </c>
      <c r="C63" s="26">
        <v>4.26</v>
      </c>
      <c r="D63" s="26">
        <v>4.88</v>
      </c>
      <c r="E63" s="26">
        <v>5.36</v>
      </c>
      <c r="F63" s="26">
        <v>4.74</v>
      </c>
      <c r="G63" s="26">
        <v>4.71</v>
      </c>
      <c r="H63" s="26">
        <v>5.34</v>
      </c>
      <c r="I63" s="26">
        <v>4.76</v>
      </c>
      <c r="J63" s="26">
        <v>4.55</v>
      </c>
      <c r="K63" s="26">
        <v>6.33</v>
      </c>
    </row>
    <row r="64" spans="1:11" ht="15" customHeight="1">
      <c r="A64" s="12" t="s">
        <v>87</v>
      </c>
      <c r="B64" s="26">
        <v>90.23</v>
      </c>
      <c r="C64" s="26">
        <v>85.85</v>
      </c>
      <c r="D64" s="26">
        <v>75</v>
      </c>
      <c r="E64" s="26">
        <v>68.23</v>
      </c>
      <c r="F64" s="26">
        <v>77.180000000000007</v>
      </c>
      <c r="G64" s="26">
        <v>77.63</v>
      </c>
      <c r="H64" s="26">
        <v>68.56</v>
      </c>
      <c r="I64" s="26">
        <v>76.900000000000006</v>
      </c>
      <c r="J64" s="26">
        <v>80.510000000000005</v>
      </c>
      <c r="K64" s="26">
        <v>57.78</v>
      </c>
    </row>
    <row r="65" spans="1:11" ht="15" customHeight="1">
      <c r="A65" s="12" t="s">
        <v>88</v>
      </c>
      <c r="B65" s="26">
        <v>11.23</v>
      </c>
      <c r="C65" s="26">
        <v>13.09</v>
      </c>
      <c r="D65" s="26">
        <v>17.53</v>
      </c>
      <c r="E65" s="26">
        <v>16.45</v>
      </c>
      <c r="F65" s="26">
        <v>14.53</v>
      </c>
      <c r="G65" s="26">
        <v>17.43</v>
      </c>
      <c r="H65" s="26">
        <v>19.600000000000001</v>
      </c>
      <c r="I65" s="26">
        <v>11.13</v>
      </c>
      <c r="J65" s="26">
        <v>7.14</v>
      </c>
      <c r="K65" s="26">
        <v>9.31</v>
      </c>
    </row>
    <row r="66" spans="1:11" ht="15" customHeight="1">
      <c r="A66" s="12" t="s">
        <v>89</v>
      </c>
      <c r="B66" s="26">
        <v>32.590000000000003</v>
      </c>
      <c r="C66" s="26">
        <v>27.96</v>
      </c>
      <c r="D66" s="26">
        <v>20.88</v>
      </c>
      <c r="E66" s="26">
        <v>22.24</v>
      </c>
      <c r="F66" s="26">
        <v>25.19</v>
      </c>
      <c r="G66" s="26">
        <v>21</v>
      </c>
      <c r="H66" s="26">
        <v>18.670000000000002</v>
      </c>
      <c r="I66" s="26">
        <v>32.9</v>
      </c>
      <c r="J66" s="26">
        <v>51.28</v>
      </c>
      <c r="K66" s="26">
        <v>39.32</v>
      </c>
    </row>
    <row r="67" spans="1:11" ht="15" customHeight="1">
      <c r="A67" s="12" t="s">
        <v>90</v>
      </c>
      <c r="B67" s="15">
        <v>-11.22</v>
      </c>
      <c r="C67" s="15">
        <v>-13.03</v>
      </c>
      <c r="D67" s="15">
        <v>-12.26</v>
      </c>
      <c r="E67" s="15">
        <v>-1.31</v>
      </c>
      <c r="F67" s="15">
        <v>-5.63</v>
      </c>
      <c r="G67" s="15">
        <v>-10.11</v>
      </c>
      <c r="H67" s="15">
        <v>-1.74</v>
      </c>
      <c r="I67" s="26">
        <v>7.36</v>
      </c>
      <c r="J67" s="26">
        <v>25.67</v>
      </c>
      <c r="K67" s="26">
        <v>22.63</v>
      </c>
    </row>
  </sheetData>
  <mergeCells count="70"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B17"/>
    <mergeCell ref="C12"/>
    <mergeCell ref="C13"/>
    <mergeCell ref="C14"/>
    <mergeCell ref="C15"/>
    <mergeCell ref="C16"/>
    <mergeCell ref="C17"/>
    <mergeCell ref="B12"/>
    <mergeCell ref="B13"/>
    <mergeCell ref="B14"/>
    <mergeCell ref="B15"/>
    <mergeCell ref="B16"/>
    <mergeCell ref="D17"/>
    <mergeCell ref="E12"/>
    <mergeCell ref="E13"/>
    <mergeCell ref="E14"/>
    <mergeCell ref="E15"/>
    <mergeCell ref="E16"/>
    <mergeCell ref="E17"/>
    <mergeCell ref="D12"/>
    <mergeCell ref="D13"/>
    <mergeCell ref="D14"/>
    <mergeCell ref="D15"/>
    <mergeCell ref="D16"/>
    <mergeCell ref="F17"/>
    <mergeCell ref="G12"/>
    <mergeCell ref="G13"/>
    <mergeCell ref="G14"/>
    <mergeCell ref="G15"/>
    <mergeCell ref="G16"/>
    <mergeCell ref="G17"/>
    <mergeCell ref="F12"/>
    <mergeCell ref="F13"/>
    <mergeCell ref="F14"/>
    <mergeCell ref="F15"/>
    <mergeCell ref="F16"/>
    <mergeCell ref="H17"/>
    <mergeCell ref="I12"/>
    <mergeCell ref="I13"/>
    <mergeCell ref="I14"/>
    <mergeCell ref="I15"/>
    <mergeCell ref="I16"/>
    <mergeCell ref="I17"/>
    <mergeCell ref="H12"/>
    <mergeCell ref="H13"/>
    <mergeCell ref="H14"/>
    <mergeCell ref="H15"/>
    <mergeCell ref="H16"/>
    <mergeCell ref="J17"/>
    <mergeCell ref="K12"/>
    <mergeCell ref="K13"/>
    <mergeCell ref="K14"/>
    <mergeCell ref="K15"/>
    <mergeCell ref="K16"/>
    <mergeCell ref="K17"/>
    <mergeCell ref="J12"/>
    <mergeCell ref="J13"/>
    <mergeCell ref="J14"/>
    <mergeCell ref="J15"/>
    <mergeCell ref="J16"/>
  </mergeCells>
  <phoneticPr fontId="8" type="noConversion"/>
  <pageMargins left="0.5" right="0.5" top="1" bottom="1" header="0.5" footer="0.7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191"/>
  <sheetViews>
    <sheetView workbookViewId="0">
      <selection activeCell="B17" sqref="B17"/>
    </sheetView>
  </sheetViews>
  <sheetFormatPr defaultColWidth="8.77734375" defaultRowHeight="14.4" outlineLevelRow="1"/>
  <cols>
    <col min="1" max="1" width="80.109375" customWidth="1"/>
    <col min="2" max="2" width="19.6640625" bestFit="1" customWidth="1"/>
    <col min="3" max="11" width="15.6640625" customWidth="1"/>
  </cols>
  <sheetData>
    <row r="1" spans="1:11" ht="15" customHeight="1">
      <c r="A1" s="1" t="s">
        <v>91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5" customHeight="1">
      <c r="A2" s="3" t="s">
        <v>0</v>
      </c>
      <c r="B2" s="4" t="s">
        <v>92</v>
      </c>
    </row>
    <row r="3" spans="1:11">
      <c r="A3" s="3" t="s">
        <v>2</v>
      </c>
      <c r="B3" s="3" t="s">
        <v>3</v>
      </c>
    </row>
    <row r="4" spans="1:11">
      <c r="A4" s="3" t="s">
        <v>4</v>
      </c>
      <c r="B4" s="3" t="s">
        <v>3</v>
      </c>
    </row>
    <row r="5" spans="1:11">
      <c r="A5" s="3" t="s">
        <v>5</v>
      </c>
      <c r="B5" s="3" t="s">
        <v>6</v>
      </c>
    </row>
    <row r="6" spans="1:11">
      <c r="A6" s="3" t="s">
        <v>7</v>
      </c>
      <c r="B6" s="3" t="s">
        <v>8</v>
      </c>
    </row>
    <row r="7" spans="1:11">
      <c r="A7" s="3" t="s">
        <v>9</v>
      </c>
      <c r="B7" s="3" t="s">
        <v>10</v>
      </c>
    </row>
    <row r="8" spans="1:11">
      <c r="A8" s="3" t="s">
        <v>11</v>
      </c>
      <c r="B8" s="3" t="s">
        <v>12</v>
      </c>
    </row>
    <row r="9" spans="1:11">
      <c r="A9" s="3" t="s">
        <v>13</v>
      </c>
      <c r="B9" s="3" t="s">
        <v>14</v>
      </c>
    </row>
    <row r="10" spans="1:11">
      <c r="A10" s="3" t="s">
        <v>15</v>
      </c>
      <c r="B10" s="5">
        <v>45975.8777083565</v>
      </c>
    </row>
    <row r="11" spans="1:11">
      <c r="A11" s="6" t="s">
        <v>16</v>
      </c>
      <c r="B11" s="211" t="s">
        <v>17</v>
      </c>
      <c r="C11" s="211" t="s">
        <v>18</v>
      </c>
      <c r="D11" s="211" t="s">
        <v>19</v>
      </c>
      <c r="E11" s="211" t="s">
        <v>20</v>
      </c>
      <c r="F11" s="211" t="s">
        <v>21</v>
      </c>
      <c r="G11" s="211" t="s">
        <v>22</v>
      </c>
      <c r="H11" s="211" t="s">
        <v>23</v>
      </c>
      <c r="I11" s="211" t="s">
        <v>24</v>
      </c>
      <c r="J11" s="211" t="s">
        <v>25</v>
      </c>
      <c r="K11" s="211" t="s">
        <v>26</v>
      </c>
    </row>
    <row r="12" spans="1:11" ht="15" customHeight="1" outlineLevel="1">
      <c r="A12" s="7" t="s">
        <v>27</v>
      </c>
      <c r="B12" s="209">
        <v>45657</v>
      </c>
      <c r="C12" s="209">
        <v>45291</v>
      </c>
      <c r="D12" s="209">
        <v>44926</v>
      </c>
      <c r="E12" s="209">
        <v>44561</v>
      </c>
      <c r="F12" s="209">
        <v>44196</v>
      </c>
      <c r="G12" s="209">
        <v>43830</v>
      </c>
      <c r="H12" s="209">
        <v>43465</v>
      </c>
      <c r="I12" s="209">
        <v>43100</v>
      </c>
      <c r="J12" s="209">
        <v>42735</v>
      </c>
      <c r="K12" s="209">
        <v>42369</v>
      </c>
    </row>
    <row r="13" spans="1:11" ht="15" customHeight="1" outlineLevel="1">
      <c r="A13" s="7" t="s">
        <v>28</v>
      </c>
      <c r="B13" s="209">
        <v>45656</v>
      </c>
      <c r="C13" s="209">
        <v>45290</v>
      </c>
      <c r="D13" s="209">
        <v>44925</v>
      </c>
      <c r="E13" s="209">
        <v>44560</v>
      </c>
      <c r="F13" s="209">
        <v>44195</v>
      </c>
      <c r="G13" s="209">
        <v>43829</v>
      </c>
      <c r="H13" s="209">
        <v>43464</v>
      </c>
      <c r="I13" s="209">
        <v>43464</v>
      </c>
      <c r="J13" s="209">
        <v>43464</v>
      </c>
      <c r="K13" s="209">
        <v>42368</v>
      </c>
    </row>
    <row r="14" spans="1:11" ht="15" customHeight="1" outlineLevel="1">
      <c r="A14" s="7" t="s">
        <v>29</v>
      </c>
      <c r="B14" s="210" t="s">
        <v>30</v>
      </c>
      <c r="C14" s="210" t="s">
        <v>30</v>
      </c>
      <c r="D14" s="210" t="s">
        <v>30</v>
      </c>
      <c r="E14" s="210" t="s">
        <v>30</v>
      </c>
      <c r="F14" s="210" t="s">
        <v>30</v>
      </c>
      <c r="G14" s="210" t="s">
        <v>30</v>
      </c>
      <c r="H14" s="210" t="s">
        <v>30</v>
      </c>
      <c r="I14" s="210" t="s">
        <v>30</v>
      </c>
      <c r="J14" s="210" t="s">
        <v>30</v>
      </c>
      <c r="K14" s="210" t="s">
        <v>30</v>
      </c>
    </row>
    <row r="15" spans="1:11" ht="15" customHeight="1" outlineLevel="1">
      <c r="A15" s="7" t="s">
        <v>31</v>
      </c>
      <c r="B15" s="210" t="s">
        <v>32</v>
      </c>
      <c r="C15" s="210" t="s">
        <v>32</v>
      </c>
      <c r="D15" s="210" t="s">
        <v>32</v>
      </c>
      <c r="E15" s="210" t="s">
        <v>32</v>
      </c>
      <c r="F15" s="210" t="s">
        <v>32</v>
      </c>
      <c r="G15" s="210" t="s">
        <v>32</v>
      </c>
      <c r="H15" s="210" t="s">
        <v>32</v>
      </c>
      <c r="I15" s="210" t="s">
        <v>32</v>
      </c>
      <c r="J15" s="210" t="s">
        <v>32</v>
      </c>
      <c r="K15" s="210" t="s">
        <v>32</v>
      </c>
    </row>
    <row r="16" spans="1:11" ht="15" customHeight="1" outlineLevel="1">
      <c r="A16" s="7" t="s">
        <v>33</v>
      </c>
      <c r="B16" s="208">
        <v>1.4379999999999999</v>
      </c>
      <c r="C16" s="208">
        <v>1.3245</v>
      </c>
      <c r="D16" s="208">
        <v>1.3549</v>
      </c>
      <c r="E16" s="208">
        <v>1.2634000000000001</v>
      </c>
      <c r="F16" s="208">
        <v>1.2729999999999999</v>
      </c>
      <c r="G16" s="208">
        <v>1.2986</v>
      </c>
      <c r="H16" s="208">
        <v>1.3636999999999999</v>
      </c>
      <c r="I16" s="208">
        <v>1.2577</v>
      </c>
      <c r="J16" s="208">
        <v>1.343</v>
      </c>
      <c r="K16" s="208">
        <v>1.3838999999999999</v>
      </c>
    </row>
    <row r="17" spans="1:11" ht="15" customHeight="1" outlineLevel="1">
      <c r="A17" s="7" t="s">
        <v>34</v>
      </c>
      <c r="B17" s="208">
        <v>1.37003196721311</v>
      </c>
      <c r="C17" s="208">
        <v>1.3493112328767101</v>
      </c>
      <c r="D17" s="208">
        <v>1.3016235616438401</v>
      </c>
      <c r="E17" s="208">
        <v>1.25345616438356</v>
      </c>
      <c r="F17" s="208">
        <v>1.3408480874316899</v>
      </c>
      <c r="G17" s="208">
        <v>1.3264150684931499</v>
      </c>
      <c r="H17" s="208">
        <v>1.2960156164383601</v>
      </c>
      <c r="I17" s="208">
        <v>1.2975704109588999</v>
      </c>
      <c r="J17" s="208">
        <v>1.3248434426229501</v>
      </c>
      <c r="K17" s="208">
        <v>1.27855397260274</v>
      </c>
    </row>
    <row r="19" spans="1:11">
      <c r="A19" s="8" t="s">
        <v>93</v>
      </c>
      <c r="B19" s="6"/>
      <c r="C19" s="6"/>
      <c r="D19" s="6"/>
      <c r="E19" s="6"/>
      <c r="F19" s="6"/>
      <c r="G19" s="6"/>
      <c r="H19" s="6"/>
      <c r="I19" s="6"/>
      <c r="J19" s="6"/>
      <c r="K19" s="6"/>
    </row>
    <row r="20" spans="1:11">
      <c r="A20" s="8" t="s">
        <v>36</v>
      </c>
      <c r="B20" s="9" t="s">
        <v>37</v>
      </c>
      <c r="C20" s="9" t="s">
        <v>38</v>
      </c>
      <c r="D20" s="9" t="s">
        <v>39</v>
      </c>
      <c r="E20" s="9" t="s">
        <v>40</v>
      </c>
      <c r="F20" s="9" t="s">
        <v>41</v>
      </c>
      <c r="G20" s="9" t="s">
        <v>42</v>
      </c>
      <c r="H20" s="9" t="s">
        <v>43</v>
      </c>
      <c r="I20" s="9" t="s">
        <v>44</v>
      </c>
      <c r="J20" s="9" t="s">
        <v>45</v>
      </c>
      <c r="K20" s="9" t="s">
        <v>46</v>
      </c>
    </row>
    <row r="21" spans="1:11" ht="15" customHeight="1">
      <c r="A21" s="10" t="s">
        <v>94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1:11" ht="15" customHeight="1">
      <c r="A22" s="12" t="s">
        <v>95</v>
      </c>
      <c r="B22" s="27">
        <v>18457.07</v>
      </c>
      <c r="C22" s="27">
        <v>17365.64</v>
      </c>
      <c r="D22" s="27">
        <v>16216.93</v>
      </c>
      <c r="E22" s="27">
        <v>13953.47</v>
      </c>
      <c r="F22" s="27">
        <v>14467.75</v>
      </c>
      <c r="G22" s="27">
        <v>14636.99</v>
      </c>
      <c r="H22" s="27">
        <v>14594.43</v>
      </c>
      <c r="I22" s="27">
        <v>14179.85</v>
      </c>
      <c r="J22" s="27">
        <v>14175.82</v>
      </c>
      <c r="K22" s="27">
        <v>19211.55</v>
      </c>
    </row>
    <row r="23" spans="1:11" ht="15" customHeight="1">
      <c r="A23" s="16" t="s">
        <v>96</v>
      </c>
      <c r="B23" s="27">
        <v>18457.07</v>
      </c>
      <c r="C23" s="27">
        <v>17365.64</v>
      </c>
      <c r="D23" s="27">
        <v>16216.93</v>
      </c>
      <c r="E23" s="27">
        <v>13953.47</v>
      </c>
      <c r="F23" s="27">
        <v>14467.75</v>
      </c>
      <c r="G23" s="27">
        <v>14636.99</v>
      </c>
      <c r="H23" s="27">
        <v>14594.43</v>
      </c>
      <c r="I23" s="27">
        <v>14179.85</v>
      </c>
      <c r="J23" s="27">
        <v>14175.82</v>
      </c>
      <c r="K23" s="27">
        <v>19211.55</v>
      </c>
    </row>
    <row r="24" spans="1:11" ht="15" customHeight="1">
      <c r="A24" s="17" t="s">
        <v>97</v>
      </c>
      <c r="B24" s="27">
        <v>17980.3</v>
      </c>
      <c r="C24" s="27">
        <v>16804.32</v>
      </c>
      <c r="D24" s="27">
        <v>15331.82</v>
      </c>
      <c r="E24" s="27">
        <v>13307.94</v>
      </c>
      <c r="F24" s="27">
        <v>13812.08</v>
      </c>
      <c r="G24" s="27">
        <v>13569.23</v>
      </c>
      <c r="H24" s="27">
        <v>13312.67</v>
      </c>
      <c r="I24" s="27">
        <v>12965.32</v>
      </c>
      <c r="J24" s="27">
        <v>12994.06</v>
      </c>
      <c r="K24" s="27">
        <v>13598.7</v>
      </c>
    </row>
    <row r="25" spans="1:11" ht="15" customHeight="1">
      <c r="A25" s="17" t="s">
        <v>98</v>
      </c>
      <c r="B25" s="25">
        <v>476.77</v>
      </c>
      <c r="C25" s="25">
        <v>561.30999999999995</v>
      </c>
      <c r="D25" s="25">
        <v>885.1</v>
      </c>
      <c r="E25" s="25">
        <v>645.53</v>
      </c>
      <c r="F25" s="25">
        <v>655.67</v>
      </c>
      <c r="G25" s="25">
        <v>1067.76</v>
      </c>
      <c r="H25" s="25">
        <v>1281.76</v>
      </c>
      <c r="I25" s="25">
        <v>1214.53</v>
      </c>
      <c r="J25" s="25">
        <v>1181.76</v>
      </c>
      <c r="K25" s="25">
        <v>5612.85</v>
      </c>
    </row>
    <row r="26" spans="1:11" ht="15" customHeight="1">
      <c r="A26" s="18" t="s">
        <v>99</v>
      </c>
      <c r="B26" s="28">
        <v>18457.07</v>
      </c>
      <c r="C26" s="28">
        <v>17365.64</v>
      </c>
      <c r="D26" s="28">
        <v>16216.93</v>
      </c>
      <c r="E26" s="28">
        <v>13953.47</v>
      </c>
      <c r="F26" s="28">
        <v>14467.75</v>
      </c>
      <c r="G26" s="28">
        <v>14636.99</v>
      </c>
      <c r="H26" s="28">
        <v>14594.43</v>
      </c>
      <c r="I26" s="28">
        <v>14179.85</v>
      </c>
      <c r="J26" s="28">
        <v>14175.82</v>
      </c>
      <c r="K26" s="28">
        <v>19211.55</v>
      </c>
    </row>
    <row r="27" spans="1:11" ht="15" customHeight="1">
      <c r="A27" s="10" t="s">
        <v>100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</row>
    <row r="28" spans="1:11" ht="15" customHeight="1">
      <c r="A28" s="12" t="s">
        <v>101</v>
      </c>
      <c r="B28" s="25">
        <v>8161.28</v>
      </c>
      <c r="C28" s="25">
        <v>8240.24</v>
      </c>
      <c r="D28" s="25">
        <v>7768.09</v>
      </c>
      <c r="E28" s="25">
        <v>5950.16</v>
      </c>
      <c r="F28" s="25">
        <v>5824.64</v>
      </c>
      <c r="G28" s="25">
        <v>6159.87</v>
      </c>
      <c r="H28" s="25">
        <v>6198.84</v>
      </c>
      <c r="I28" s="25">
        <v>5774.19</v>
      </c>
      <c r="J28" s="25">
        <v>6377.8</v>
      </c>
      <c r="K28" s="25">
        <v>9531.6200000000008</v>
      </c>
    </row>
    <row r="29" spans="1:11" ht="15" customHeight="1">
      <c r="A29" s="16" t="s">
        <v>102</v>
      </c>
      <c r="B29" s="25">
        <v>8161.28</v>
      </c>
      <c r="C29" s="25">
        <v>8240.24</v>
      </c>
      <c r="D29" s="25">
        <v>7768.09</v>
      </c>
      <c r="E29" s="25">
        <v>5950.16</v>
      </c>
      <c r="F29" s="25">
        <v>5824.64</v>
      </c>
      <c r="G29" s="25">
        <v>6159.87</v>
      </c>
      <c r="H29" s="25">
        <v>6198.84</v>
      </c>
      <c r="I29" s="25">
        <v>5774.19</v>
      </c>
      <c r="J29" s="25">
        <v>6377.8</v>
      </c>
      <c r="K29" s="25">
        <v>9531.6200000000008</v>
      </c>
    </row>
    <row r="30" spans="1:11" ht="15" customHeight="1">
      <c r="A30" s="17" t="s">
        <v>103</v>
      </c>
      <c r="B30" s="25">
        <v>2166.02</v>
      </c>
      <c r="C30" s="25">
        <v>1971.34</v>
      </c>
      <c r="D30" s="25">
        <v>1789.73</v>
      </c>
      <c r="E30" s="25">
        <v>1632</v>
      </c>
      <c r="F30" s="25">
        <v>1708.24</v>
      </c>
      <c r="G30" s="25">
        <v>1618.23</v>
      </c>
      <c r="H30" s="25">
        <v>1472.27</v>
      </c>
      <c r="I30" s="25">
        <v>1332.6</v>
      </c>
      <c r="J30" s="25">
        <v>1236.08</v>
      </c>
      <c r="K30" s="25">
        <v>1639.11</v>
      </c>
    </row>
    <row r="31" spans="1:11" ht="15" customHeight="1">
      <c r="A31" s="17" t="s">
        <v>104</v>
      </c>
      <c r="B31" s="25">
        <v>5995.26</v>
      </c>
      <c r="C31" s="25">
        <v>6268.9</v>
      </c>
      <c r="D31" s="25">
        <v>5978.36</v>
      </c>
      <c r="E31" s="25">
        <v>4318.16</v>
      </c>
      <c r="F31" s="25">
        <v>4116.3999999999996</v>
      </c>
      <c r="G31" s="25">
        <v>4541.6499999999996</v>
      </c>
      <c r="H31" s="25">
        <v>4726.57</v>
      </c>
      <c r="I31" s="25">
        <v>4441.58</v>
      </c>
      <c r="J31" s="25">
        <v>5141.72</v>
      </c>
      <c r="K31" s="25">
        <v>7892.51</v>
      </c>
    </row>
    <row r="32" spans="1:11" ht="15" customHeight="1">
      <c r="A32" s="19" t="s">
        <v>105</v>
      </c>
      <c r="B32" s="25">
        <v>635.69000000000005</v>
      </c>
      <c r="C32" s="25">
        <v>725.93</v>
      </c>
      <c r="D32" s="25">
        <v>950.19</v>
      </c>
      <c r="E32" s="25">
        <v>602.91</v>
      </c>
      <c r="F32" s="25">
        <v>494.77</v>
      </c>
      <c r="G32" s="25">
        <v>659.23</v>
      </c>
      <c r="H32" s="25">
        <v>697.26</v>
      </c>
      <c r="I32" s="25">
        <v>644.89</v>
      </c>
      <c r="J32" s="25">
        <v>756.49</v>
      </c>
      <c r="K32" s="25">
        <v>2371.7199999999998</v>
      </c>
    </row>
    <row r="33" spans="1:11" ht="15" customHeight="1">
      <c r="A33" s="19" t="s">
        <v>106</v>
      </c>
      <c r="B33" s="25">
        <v>5359.57</v>
      </c>
      <c r="C33" s="25">
        <v>5542.97</v>
      </c>
      <c r="D33" s="25">
        <v>5028.17</v>
      </c>
      <c r="E33" s="25">
        <v>3715.24</v>
      </c>
      <c r="F33" s="25">
        <v>3621.63</v>
      </c>
      <c r="G33" s="25">
        <v>3882.42</v>
      </c>
      <c r="H33" s="25">
        <v>4029.31</v>
      </c>
      <c r="I33" s="25">
        <v>3796.69</v>
      </c>
      <c r="J33" s="25">
        <v>4385.2299999999996</v>
      </c>
      <c r="K33" s="25">
        <v>5520.8</v>
      </c>
    </row>
    <row r="34" spans="1:11" ht="15" customHeight="1">
      <c r="A34" s="18" t="s">
        <v>107</v>
      </c>
      <c r="B34" s="28">
        <v>10295.790000000001</v>
      </c>
      <c r="C34" s="29">
        <v>9125.39</v>
      </c>
      <c r="D34" s="29">
        <v>8448.84</v>
      </c>
      <c r="E34" s="29">
        <v>8003.32</v>
      </c>
      <c r="F34" s="29">
        <v>8643.11</v>
      </c>
      <c r="G34" s="29">
        <v>8477.1200000000008</v>
      </c>
      <c r="H34" s="29">
        <v>8395.59</v>
      </c>
      <c r="I34" s="29">
        <v>8405.66</v>
      </c>
      <c r="J34" s="29">
        <v>7798.03</v>
      </c>
      <c r="K34" s="29">
        <v>9679.93</v>
      </c>
    </row>
    <row r="35" spans="1:11" ht="15" customHeight="1">
      <c r="A35" s="12" t="s">
        <v>108</v>
      </c>
      <c r="B35" s="25">
        <v>1660.48</v>
      </c>
      <c r="C35" s="25">
        <v>1570.6</v>
      </c>
      <c r="D35" s="25">
        <v>1469.53</v>
      </c>
      <c r="E35" s="25">
        <v>1344.96</v>
      </c>
      <c r="F35" s="25">
        <v>1482.98</v>
      </c>
      <c r="G35" s="25">
        <v>1402.02</v>
      </c>
      <c r="H35" s="25">
        <v>1286.94</v>
      </c>
      <c r="I35" s="25">
        <v>1219.72</v>
      </c>
      <c r="J35" s="25">
        <v>1209.58</v>
      </c>
      <c r="K35" s="25">
        <v>1250.43</v>
      </c>
    </row>
    <row r="36" spans="1:11" ht="15" customHeight="1">
      <c r="A36" s="16" t="s">
        <v>109</v>
      </c>
      <c r="B36" s="25">
        <v>1660.48</v>
      </c>
      <c r="C36" s="25">
        <v>1570.6</v>
      </c>
      <c r="D36" s="25">
        <v>1469.53</v>
      </c>
      <c r="E36" s="25">
        <v>1344.96</v>
      </c>
      <c r="F36" s="25">
        <v>1482.98</v>
      </c>
      <c r="G36" s="25">
        <v>1402.02</v>
      </c>
      <c r="H36" s="25">
        <v>1286.94</v>
      </c>
      <c r="I36" s="25">
        <v>1219.72</v>
      </c>
      <c r="J36" s="25">
        <v>1209.58</v>
      </c>
      <c r="K36" s="25">
        <v>1250.43</v>
      </c>
    </row>
    <row r="37" spans="1:11" ht="15" customHeight="1">
      <c r="A37" s="17" t="s">
        <v>110</v>
      </c>
      <c r="B37" s="25">
        <v>1660.48</v>
      </c>
      <c r="C37" s="25">
        <v>1570.6</v>
      </c>
      <c r="D37" s="25">
        <v>1469.53</v>
      </c>
      <c r="E37" s="25">
        <v>1344.96</v>
      </c>
      <c r="F37" s="25">
        <v>1402.53</v>
      </c>
      <c r="G37" s="25">
        <v>1337.03</v>
      </c>
      <c r="H37" s="25">
        <v>1286.94</v>
      </c>
      <c r="I37" s="25">
        <v>1219.72</v>
      </c>
      <c r="J37" s="25">
        <v>1209.58</v>
      </c>
      <c r="K37" s="25">
        <v>1250.43</v>
      </c>
    </row>
    <row r="38" spans="1:11" ht="15" customHeight="1">
      <c r="A38" s="17" t="s">
        <v>111</v>
      </c>
      <c r="B38" s="27"/>
      <c r="C38" s="27"/>
      <c r="D38" s="27"/>
      <c r="E38" s="27"/>
      <c r="F38" s="26">
        <v>80.45</v>
      </c>
      <c r="G38" s="26">
        <v>64.989999999999995</v>
      </c>
      <c r="H38" s="27"/>
      <c r="I38" s="27"/>
      <c r="J38" s="27"/>
      <c r="K38" s="27"/>
    </row>
    <row r="39" spans="1:11" ht="15" customHeight="1">
      <c r="A39" s="12" t="s">
        <v>112</v>
      </c>
      <c r="B39" s="25">
        <v>5381.49</v>
      </c>
      <c r="C39" s="25">
        <v>4497.25</v>
      </c>
      <c r="D39" s="25">
        <v>4493.2</v>
      </c>
      <c r="E39" s="25">
        <v>4631.5200000000004</v>
      </c>
      <c r="F39" s="25">
        <v>4261.22</v>
      </c>
      <c r="G39" s="25">
        <v>3745.8</v>
      </c>
      <c r="H39" s="25">
        <v>3866.01</v>
      </c>
      <c r="I39" s="25">
        <v>3982.24</v>
      </c>
      <c r="J39" s="25">
        <v>3810.25</v>
      </c>
      <c r="K39" s="25">
        <v>5229.29</v>
      </c>
    </row>
    <row r="40" spans="1:11" ht="15" customHeight="1">
      <c r="A40" s="16" t="s">
        <v>113</v>
      </c>
      <c r="B40" s="25">
        <v>316.48</v>
      </c>
      <c r="C40" s="25">
        <v>352.17</v>
      </c>
      <c r="D40" s="25">
        <v>475.09</v>
      </c>
      <c r="E40" s="27"/>
      <c r="F40" s="26">
        <v>71.06</v>
      </c>
      <c r="G40" s="25">
        <v>104.79</v>
      </c>
      <c r="H40" s="25">
        <v>194.4</v>
      </c>
      <c r="I40" s="27"/>
      <c r="J40" s="27"/>
      <c r="K40" s="27"/>
    </row>
    <row r="41" spans="1:11" ht="15" customHeight="1">
      <c r="A41" s="16" t="s">
        <v>114</v>
      </c>
      <c r="B41" s="25">
        <v>5697.96</v>
      </c>
      <c r="C41" s="25">
        <v>4849.42</v>
      </c>
      <c r="D41" s="25">
        <v>4968.3</v>
      </c>
      <c r="E41" s="25">
        <v>4631.5200000000004</v>
      </c>
      <c r="F41" s="25">
        <v>4332.28</v>
      </c>
      <c r="G41" s="25">
        <v>3850.58</v>
      </c>
      <c r="H41" s="25">
        <v>4060.42</v>
      </c>
      <c r="I41" s="25">
        <v>3982.24</v>
      </c>
      <c r="J41" s="25">
        <v>3810.25</v>
      </c>
      <c r="K41" s="25">
        <v>5229.29</v>
      </c>
    </row>
    <row r="42" spans="1:11" ht="15" customHeight="1">
      <c r="A42" s="12" t="s">
        <v>115</v>
      </c>
      <c r="B42" s="27">
        <v>15203.24</v>
      </c>
      <c r="C42" s="27">
        <v>14308.1</v>
      </c>
      <c r="D42" s="27">
        <v>13730.83</v>
      </c>
      <c r="E42" s="27">
        <v>11926.64</v>
      </c>
      <c r="F42" s="27">
        <v>11568.84</v>
      </c>
      <c r="G42" s="27">
        <v>11307.69</v>
      </c>
      <c r="H42" s="27">
        <v>11351.8</v>
      </c>
      <c r="I42" s="27">
        <v>10976.15</v>
      </c>
      <c r="J42" s="27">
        <v>11397.63</v>
      </c>
      <c r="K42" s="27">
        <v>16011.33</v>
      </c>
    </row>
    <row r="43" spans="1:11" ht="15" customHeight="1">
      <c r="A43" s="10" t="s">
        <v>116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 spans="1:11" ht="15" customHeight="1">
      <c r="A44" s="18" t="s">
        <v>117</v>
      </c>
      <c r="B44" s="29">
        <v>3253.83</v>
      </c>
      <c r="C44" s="29">
        <v>3057.54</v>
      </c>
      <c r="D44" s="29">
        <v>2486.1</v>
      </c>
      <c r="E44" s="29">
        <v>2026.84</v>
      </c>
      <c r="F44" s="29">
        <v>2898.91</v>
      </c>
      <c r="G44" s="29">
        <v>3329.3</v>
      </c>
      <c r="H44" s="29">
        <v>3242.63</v>
      </c>
      <c r="I44" s="29">
        <v>3203.7</v>
      </c>
      <c r="J44" s="29">
        <v>2778.2</v>
      </c>
      <c r="K44" s="29">
        <v>3200.22</v>
      </c>
    </row>
    <row r="45" spans="1:11" ht="15" customHeight="1">
      <c r="A45" s="10" t="s">
        <v>118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 spans="1:11" ht="15" customHeight="1">
      <c r="A46" s="12" t="s">
        <v>119</v>
      </c>
      <c r="B46" s="20">
        <v>-1352.22</v>
      </c>
      <c r="C46" s="20">
        <v>-1385.74</v>
      </c>
      <c r="D46" s="20">
        <v>-1243.05</v>
      </c>
      <c r="E46" s="20">
        <v>-1336.18</v>
      </c>
      <c r="F46" s="20">
        <v>-1324.76</v>
      </c>
      <c r="G46" s="20">
        <v>-1276.01</v>
      </c>
      <c r="H46" s="20">
        <v>-1362.11</v>
      </c>
      <c r="I46" s="20">
        <v>-1236.58</v>
      </c>
      <c r="J46" s="20">
        <v>-1216.21</v>
      </c>
      <c r="K46" s="20">
        <v>-1325.86</v>
      </c>
    </row>
    <row r="47" spans="1:11" ht="15" customHeight="1">
      <c r="A47" s="16" t="s">
        <v>120</v>
      </c>
      <c r="B47" s="25">
        <v>1352.22</v>
      </c>
      <c r="C47" s="25">
        <v>1385.74</v>
      </c>
      <c r="D47" s="25">
        <v>1243.05</v>
      </c>
      <c r="E47" s="25">
        <v>1336.18</v>
      </c>
      <c r="F47" s="25">
        <v>1324.76</v>
      </c>
      <c r="G47" s="25">
        <v>1276.01</v>
      </c>
      <c r="H47" s="25">
        <v>1362.11</v>
      </c>
      <c r="I47" s="25">
        <v>1236.58</v>
      </c>
      <c r="J47" s="25">
        <v>1216.21</v>
      </c>
      <c r="K47" s="25">
        <v>1297.73</v>
      </c>
    </row>
    <row r="48" spans="1:11" ht="15" customHeight="1">
      <c r="A48" s="17" t="s">
        <v>121</v>
      </c>
      <c r="B48" s="26">
        <v>32.880000000000003</v>
      </c>
      <c r="C48" s="27"/>
      <c r="D48" s="27"/>
      <c r="E48" s="27"/>
      <c r="F48" s="27"/>
      <c r="G48" s="27"/>
      <c r="H48" s="27"/>
      <c r="I48" s="27"/>
      <c r="J48" s="27"/>
      <c r="K48" s="27"/>
    </row>
    <row r="49" spans="1:11" ht="15" customHeight="1">
      <c r="A49" s="17" t="s">
        <v>122</v>
      </c>
      <c r="B49" s="25">
        <v>1385.1</v>
      </c>
      <c r="C49" s="25">
        <v>1385.74</v>
      </c>
      <c r="D49" s="25">
        <v>1243.05</v>
      </c>
      <c r="E49" s="25">
        <v>1336.18</v>
      </c>
      <c r="F49" s="25">
        <v>1324.76</v>
      </c>
      <c r="G49" s="25">
        <v>1276.01</v>
      </c>
      <c r="H49" s="25">
        <v>1362.11</v>
      </c>
      <c r="I49" s="25">
        <v>1236.58</v>
      </c>
      <c r="J49" s="25">
        <v>1216.21</v>
      </c>
      <c r="K49" s="25">
        <v>1297.73</v>
      </c>
    </row>
    <row r="50" spans="1:11" ht="15" customHeight="1">
      <c r="A50" s="19" t="s">
        <v>123</v>
      </c>
      <c r="B50" s="25">
        <v>1567.32</v>
      </c>
      <c r="C50" s="25">
        <v>1516.63</v>
      </c>
      <c r="D50" s="25">
        <v>1352.39</v>
      </c>
      <c r="E50" s="25">
        <v>1430.19</v>
      </c>
      <c r="F50" s="25">
        <v>1428</v>
      </c>
      <c r="G50" s="25">
        <v>1370.19</v>
      </c>
      <c r="H50" s="25">
        <v>1446.35</v>
      </c>
      <c r="I50" s="25">
        <v>1304.06</v>
      </c>
      <c r="J50" s="25">
        <v>1289.07</v>
      </c>
      <c r="K50" s="25">
        <v>1447.32</v>
      </c>
    </row>
    <row r="51" spans="1:11" ht="15" customHeight="1">
      <c r="A51" s="19" t="s">
        <v>124</v>
      </c>
      <c r="B51" s="25">
        <v>182.21</v>
      </c>
      <c r="C51" s="25">
        <v>130.88</v>
      </c>
      <c r="D51" s="25">
        <v>109.34</v>
      </c>
      <c r="E51" s="26">
        <v>94.01</v>
      </c>
      <c r="F51" s="25">
        <v>103.25</v>
      </c>
      <c r="G51" s="26">
        <v>94.18</v>
      </c>
      <c r="H51" s="26">
        <v>84.24</v>
      </c>
      <c r="I51" s="26">
        <v>67.47</v>
      </c>
      <c r="J51" s="26">
        <v>72.87</v>
      </c>
      <c r="K51" s="25">
        <v>149.59</v>
      </c>
    </row>
    <row r="52" spans="1:11" ht="15" customHeight="1">
      <c r="A52" s="16" t="s">
        <v>125</v>
      </c>
      <c r="B52" s="27"/>
      <c r="C52" s="27"/>
      <c r="D52" s="27"/>
      <c r="E52" s="27"/>
      <c r="F52" s="27"/>
      <c r="G52" s="27"/>
      <c r="H52" s="27"/>
      <c r="I52" s="27"/>
      <c r="J52" s="27"/>
      <c r="K52" s="15">
        <v>-28.13</v>
      </c>
    </row>
    <row r="53" spans="1:11" ht="15" customHeight="1">
      <c r="A53" s="17" t="s">
        <v>126</v>
      </c>
      <c r="B53" s="27"/>
      <c r="C53" s="27"/>
      <c r="D53" s="27"/>
      <c r="E53" s="27"/>
      <c r="F53" s="27"/>
      <c r="G53" s="27"/>
      <c r="H53" s="27"/>
      <c r="I53" s="27"/>
      <c r="J53" s="27"/>
      <c r="K53" s="15">
        <v>-28.13</v>
      </c>
    </row>
    <row r="54" spans="1:11" ht="15" customHeight="1">
      <c r="A54" s="12" t="s">
        <v>127</v>
      </c>
      <c r="B54" s="27"/>
      <c r="C54" s="27"/>
      <c r="D54" s="27"/>
      <c r="E54" s="25">
        <v>136.63</v>
      </c>
      <c r="F54" s="27"/>
      <c r="G54" s="27"/>
      <c r="H54" s="27"/>
      <c r="I54" s="27"/>
      <c r="J54" s="27"/>
      <c r="K54" s="27"/>
    </row>
    <row r="55" spans="1:11" ht="15" customHeight="1">
      <c r="A55" s="12" t="s">
        <v>128</v>
      </c>
      <c r="B55" s="26">
        <v>79.459999999999994</v>
      </c>
      <c r="C55" s="25">
        <v>236.13</v>
      </c>
      <c r="D55" s="25">
        <v>218.67</v>
      </c>
      <c r="E55" s="27"/>
      <c r="F55" s="27"/>
      <c r="G55" s="27"/>
      <c r="H55" s="27"/>
      <c r="I55" s="27"/>
      <c r="J55" s="27"/>
      <c r="K55" s="27"/>
    </row>
    <row r="56" spans="1:11" ht="15" customHeight="1">
      <c r="A56" s="12" t="s">
        <v>129</v>
      </c>
      <c r="B56" s="25">
        <v>226.06</v>
      </c>
      <c r="C56" s="25">
        <v>221.29</v>
      </c>
      <c r="D56" s="25">
        <v>540.16999999999996</v>
      </c>
      <c r="E56" s="25">
        <v>648.04</v>
      </c>
      <c r="F56" s="25">
        <v>579.25</v>
      </c>
      <c r="G56" s="25">
        <v>322.32</v>
      </c>
      <c r="H56" s="25">
        <v>265.68</v>
      </c>
      <c r="I56" s="26">
        <v>68.77</v>
      </c>
      <c r="J56" s="26">
        <v>58.29</v>
      </c>
      <c r="K56" s="27"/>
    </row>
    <row r="57" spans="1:11" ht="15" customHeight="1">
      <c r="A57" s="12" t="s">
        <v>130</v>
      </c>
      <c r="B57" s="25">
        <v>2207.12</v>
      </c>
      <c r="C57" s="25">
        <v>2129.21</v>
      </c>
      <c r="D57" s="25">
        <v>2001.9</v>
      </c>
      <c r="E57" s="25">
        <v>1475.32</v>
      </c>
      <c r="F57" s="25">
        <v>2153.4</v>
      </c>
      <c r="G57" s="25">
        <v>2375.61</v>
      </c>
      <c r="H57" s="25">
        <v>2146.1999999999998</v>
      </c>
      <c r="I57" s="25">
        <v>2035.89</v>
      </c>
      <c r="J57" s="25">
        <v>1620.28</v>
      </c>
      <c r="K57" s="25">
        <v>1874.36</v>
      </c>
    </row>
    <row r="58" spans="1:11" ht="15" customHeight="1">
      <c r="A58" s="10" t="s">
        <v>131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</row>
    <row r="59" spans="1:11" ht="15" customHeight="1">
      <c r="A59" s="12" t="s">
        <v>132</v>
      </c>
      <c r="B59" s="20">
        <v>-146.59</v>
      </c>
      <c r="C59" s="20">
        <v>-153.82</v>
      </c>
      <c r="D59" s="20">
        <v>-128.86000000000001</v>
      </c>
      <c r="E59" s="25">
        <v>478.82</v>
      </c>
      <c r="F59" s="20">
        <v>-639.58000000000004</v>
      </c>
      <c r="G59" s="20">
        <v>-894</v>
      </c>
      <c r="H59" s="20">
        <v>-186.63</v>
      </c>
      <c r="I59" s="20">
        <v>-185.55</v>
      </c>
      <c r="J59" s="20">
        <v>-192.1</v>
      </c>
      <c r="K59" s="20">
        <v>-732.61</v>
      </c>
    </row>
    <row r="60" spans="1:11" ht="15" customHeight="1">
      <c r="A60" s="16" t="s">
        <v>133</v>
      </c>
      <c r="B60" s="27"/>
      <c r="C60" s="27"/>
      <c r="D60" s="27"/>
      <c r="E60" s="27"/>
      <c r="F60" s="27"/>
      <c r="G60" s="27"/>
      <c r="H60" s="27"/>
      <c r="I60" s="26">
        <v>53.2</v>
      </c>
      <c r="J60" s="26">
        <v>56.97</v>
      </c>
      <c r="K60" s="26">
        <v>53.7</v>
      </c>
    </row>
    <row r="61" spans="1:11" ht="15" customHeight="1">
      <c r="A61" s="17" t="s">
        <v>134</v>
      </c>
      <c r="B61" s="27"/>
      <c r="C61" s="27"/>
      <c r="D61" s="27"/>
      <c r="E61" s="27"/>
      <c r="F61" s="27"/>
      <c r="G61" s="27"/>
      <c r="H61" s="27"/>
      <c r="I61" s="26">
        <v>53.2</v>
      </c>
      <c r="J61" s="26">
        <v>56.97</v>
      </c>
      <c r="K61" s="26">
        <v>53.7</v>
      </c>
    </row>
    <row r="62" spans="1:11" ht="15" customHeight="1">
      <c r="A62" s="16" t="s">
        <v>135</v>
      </c>
      <c r="B62" s="27"/>
      <c r="C62" s="27"/>
      <c r="D62" s="27"/>
      <c r="E62" s="27"/>
      <c r="F62" s="27"/>
      <c r="G62" s="27"/>
      <c r="H62" s="27"/>
      <c r="I62" s="27"/>
      <c r="J62" s="27"/>
      <c r="K62" s="25">
        <v>462.84</v>
      </c>
    </row>
    <row r="63" spans="1:11" ht="15" customHeight="1">
      <c r="A63" s="16" t="s">
        <v>136</v>
      </c>
      <c r="B63" s="27"/>
      <c r="C63" s="27"/>
      <c r="D63" s="27"/>
      <c r="E63" s="27"/>
      <c r="F63" s="27"/>
      <c r="G63" s="27"/>
      <c r="H63" s="27"/>
      <c r="I63" s="27"/>
      <c r="J63" s="27"/>
      <c r="K63" s="26">
        <v>93.33</v>
      </c>
    </row>
    <row r="64" spans="1:11" ht="15" customHeight="1">
      <c r="A64" s="16" t="s">
        <v>137</v>
      </c>
      <c r="B64" s="20">
        <v>-116.45</v>
      </c>
      <c r="C64" s="15">
        <v>-48.58</v>
      </c>
      <c r="D64" s="20">
        <v>-222.58</v>
      </c>
      <c r="E64" s="27"/>
      <c r="F64" s="27"/>
      <c r="G64" s="27"/>
      <c r="H64" s="27"/>
      <c r="I64" s="27"/>
      <c r="J64" s="27"/>
      <c r="K64" s="27"/>
    </row>
    <row r="65" spans="1:11" ht="15" customHeight="1">
      <c r="A65" s="16" t="s">
        <v>138</v>
      </c>
      <c r="B65" s="15">
        <v>-30.14</v>
      </c>
      <c r="C65" s="20">
        <v>-105.25</v>
      </c>
      <c r="D65" s="26">
        <v>93.72</v>
      </c>
      <c r="E65" s="25">
        <v>478.82</v>
      </c>
      <c r="F65" s="20">
        <v>-639.58000000000004</v>
      </c>
      <c r="G65" s="20">
        <v>-894</v>
      </c>
      <c r="H65" s="20">
        <v>-186.63</v>
      </c>
      <c r="I65" s="20">
        <v>-132.35</v>
      </c>
      <c r="J65" s="20">
        <v>-135.13</v>
      </c>
      <c r="K65" s="20">
        <v>-309.41000000000003</v>
      </c>
    </row>
    <row r="66" spans="1:11" ht="15" customHeight="1">
      <c r="A66" s="10" t="s">
        <v>139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ht="15" customHeight="1">
      <c r="A67" s="18" t="s">
        <v>140</v>
      </c>
      <c r="B67" s="29">
        <v>2060.5300000000002</v>
      </c>
      <c r="C67" s="29">
        <v>1975.39</v>
      </c>
      <c r="D67" s="29">
        <v>1873.04</v>
      </c>
      <c r="E67" s="29">
        <v>1954.14</v>
      </c>
      <c r="F67" s="29">
        <v>1513.82</v>
      </c>
      <c r="G67" s="29">
        <v>1481.61</v>
      </c>
      <c r="H67" s="29">
        <v>1959.58</v>
      </c>
      <c r="I67" s="29">
        <v>1850.34</v>
      </c>
      <c r="J67" s="29">
        <v>1428.18</v>
      </c>
      <c r="K67" s="29">
        <v>1141.75</v>
      </c>
    </row>
    <row r="68" spans="1:11" ht="15" customHeight="1">
      <c r="A68" s="10" t="s">
        <v>141</v>
      </c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ht="15" customHeight="1">
      <c r="A69" s="12" t="s">
        <v>142</v>
      </c>
      <c r="B69" s="25">
        <v>516.5</v>
      </c>
      <c r="C69" s="25">
        <v>360.27</v>
      </c>
      <c r="D69" s="25">
        <v>1301.6199999999999</v>
      </c>
      <c r="E69" s="25">
        <v>401.11</v>
      </c>
      <c r="F69" s="25">
        <v>168.95</v>
      </c>
      <c r="G69" s="25">
        <v>282.52999999999997</v>
      </c>
      <c r="H69" s="25">
        <v>603.94000000000005</v>
      </c>
      <c r="I69" s="25">
        <v>677.33</v>
      </c>
      <c r="J69" s="25">
        <v>698.19</v>
      </c>
      <c r="K69" s="25">
        <v>402.74</v>
      </c>
    </row>
    <row r="70" spans="1:11" ht="15" customHeight="1">
      <c r="A70" s="16" t="s">
        <v>143</v>
      </c>
      <c r="B70" s="26">
        <v>83.57</v>
      </c>
      <c r="C70" s="26">
        <v>20.239999999999998</v>
      </c>
      <c r="D70" s="26">
        <v>14.32</v>
      </c>
      <c r="E70" s="26">
        <v>28.83</v>
      </c>
      <c r="F70" s="26">
        <v>9.39</v>
      </c>
      <c r="G70" s="26">
        <v>10.61</v>
      </c>
      <c r="H70" s="26">
        <v>1.3</v>
      </c>
      <c r="I70" s="26">
        <v>44.12</v>
      </c>
      <c r="J70" s="26">
        <v>10.6</v>
      </c>
      <c r="K70" s="26">
        <v>39.64</v>
      </c>
    </row>
    <row r="71" spans="1:11" ht="15" customHeight="1">
      <c r="A71" s="17" t="s">
        <v>144</v>
      </c>
      <c r="B71" s="26">
        <v>83.57</v>
      </c>
      <c r="C71" s="26">
        <v>20.239999999999998</v>
      </c>
      <c r="D71" s="26">
        <v>14.32</v>
      </c>
      <c r="E71" s="26">
        <v>28.83</v>
      </c>
      <c r="F71" s="26">
        <v>9.39</v>
      </c>
      <c r="G71" s="26">
        <v>10.61</v>
      </c>
      <c r="H71" s="26">
        <v>1.3</v>
      </c>
      <c r="I71" s="26">
        <v>44.12</v>
      </c>
      <c r="J71" s="26">
        <v>10.6</v>
      </c>
      <c r="K71" s="26">
        <v>39.64</v>
      </c>
    </row>
    <row r="72" spans="1:11" ht="15" customHeight="1">
      <c r="A72" s="16" t="s">
        <v>145</v>
      </c>
      <c r="B72" s="25">
        <v>438.41</v>
      </c>
      <c r="C72" s="25">
        <v>344.07</v>
      </c>
      <c r="D72" s="25">
        <v>1292.51</v>
      </c>
      <c r="E72" s="25">
        <v>377.29</v>
      </c>
      <c r="F72" s="25">
        <v>178.33</v>
      </c>
      <c r="G72" s="25">
        <v>278.55</v>
      </c>
      <c r="H72" s="25">
        <v>610.41999999999996</v>
      </c>
      <c r="I72" s="25">
        <v>641</v>
      </c>
      <c r="J72" s="25">
        <v>695.54</v>
      </c>
      <c r="K72" s="25">
        <v>373.34</v>
      </c>
    </row>
    <row r="73" spans="1:11" ht="15" customHeight="1">
      <c r="A73" s="17" t="s">
        <v>146</v>
      </c>
      <c r="B73" s="25">
        <v>438.41</v>
      </c>
      <c r="C73" s="25">
        <v>344.07</v>
      </c>
      <c r="D73" s="25">
        <v>1292.51</v>
      </c>
      <c r="E73" s="25">
        <v>377.29</v>
      </c>
      <c r="F73" s="25">
        <v>178.33</v>
      </c>
      <c r="G73" s="25">
        <v>278.55</v>
      </c>
      <c r="H73" s="25">
        <v>610.41999999999996</v>
      </c>
      <c r="I73" s="25">
        <v>641</v>
      </c>
      <c r="J73" s="25">
        <v>695.54</v>
      </c>
      <c r="K73" s="25">
        <v>373.34</v>
      </c>
    </row>
    <row r="74" spans="1:11" ht="15" customHeight="1">
      <c r="A74" s="16" t="s">
        <v>147</v>
      </c>
      <c r="B74" s="15">
        <v>-5.48</v>
      </c>
      <c r="C74" s="15">
        <v>-4.05</v>
      </c>
      <c r="D74" s="15">
        <v>-5.21</v>
      </c>
      <c r="E74" s="15">
        <v>-5.01</v>
      </c>
      <c r="F74" s="15">
        <v>-18.77</v>
      </c>
      <c r="G74" s="15">
        <v>-6.63</v>
      </c>
      <c r="H74" s="15">
        <v>-7.78</v>
      </c>
      <c r="I74" s="15">
        <v>-7.79</v>
      </c>
      <c r="J74" s="15">
        <v>-7.95</v>
      </c>
      <c r="K74" s="15">
        <v>-10.23</v>
      </c>
    </row>
    <row r="75" spans="1:11" ht="15" customHeight="1">
      <c r="A75" s="10" t="s">
        <v>148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ht="15" customHeight="1">
      <c r="A76" s="12" t="s">
        <v>149</v>
      </c>
      <c r="B76" s="25">
        <v>1544.03</v>
      </c>
      <c r="C76" s="25">
        <v>1615.13</v>
      </c>
      <c r="D76" s="25">
        <v>571.41</v>
      </c>
      <c r="E76" s="25">
        <v>1553.03</v>
      </c>
      <c r="F76" s="25">
        <v>1344.87</v>
      </c>
      <c r="G76" s="25">
        <v>1199.08</v>
      </c>
      <c r="H76" s="25">
        <v>1355.63</v>
      </c>
      <c r="I76" s="25">
        <v>1173</v>
      </c>
      <c r="J76" s="25">
        <v>729.99</v>
      </c>
      <c r="K76" s="25">
        <v>739</v>
      </c>
    </row>
    <row r="77" spans="1:11" ht="15" customHeight="1">
      <c r="A77" s="10" t="s">
        <v>150</v>
      </c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ht="15" customHeight="1">
      <c r="A78" s="18" t="s">
        <v>151</v>
      </c>
      <c r="B78" s="29">
        <v>1544.03</v>
      </c>
      <c r="C78" s="29">
        <v>1615.13</v>
      </c>
      <c r="D78" s="29">
        <v>571.41</v>
      </c>
      <c r="E78" s="29">
        <v>1553.03</v>
      </c>
      <c r="F78" s="29">
        <v>1344.87</v>
      </c>
      <c r="G78" s="29">
        <v>1199.08</v>
      </c>
      <c r="H78" s="29">
        <v>1355.63</v>
      </c>
      <c r="I78" s="29">
        <v>1173</v>
      </c>
      <c r="J78" s="29">
        <v>729.99</v>
      </c>
      <c r="K78" s="29">
        <v>739</v>
      </c>
    </row>
    <row r="79" spans="1:11" ht="15" customHeight="1">
      <c r="A79" s="12" t="s">
        <v>152</v>
      </c>
      <c r="B79" s="27"/>
      <c r="C79" s="15">
        <v>-28.34</v>
      </c>
      <c r="D79" s="27"/>
      <c r="E79" s="26">
        <v>55.15</v>
      </c>
      <c r="F79" s="25">
        <v>101.9</v>
      </c>
      <c r="G79" s="26">
        <v>10.61</v>
      </c>
      <c r="H79" s="25">
        <v>391.4</v>
      </c>
      <c r="I79" s="20">
        <v>-3410.02</v>
      </c>
      <c r="J79" s="20">
        <v>-8913.5499999999993</v>
      </c>
      <c r="K79" s="27"/>
    </row>
    <row r="80" spans="1:11" ht="15" customHeight="1">
      <c r="A80" s="16" t="s">
        <v>153</v>
      </c>
      <c r="B80" s="27"/>
      <c r="C80" s="15">
        <v>-28.34</v>
      </c>
      <c r="D80" s="27"/>
      <c r="E80" s="26">
        <v>55.15</v>
      </c>
      <c r="F80" s="25">
        <v>101.9</v>
      </c>
      <c r="G80" s="26">
        <v>10.61</v>
      </c>
      <c r="H80" s="25">
        <v>422.5</v>
      </c>
      <c r="I80" s="20">
        <v>-1862.01</v>
      </c>
      <c r="J80" s="20">
        <v>-8913.5499999999993</v>
      </c>
      <c r="K80" s="27"/>
    </row>
    <row r="81" spans="1:11" ht="15" customHeight="1">
      <c r="A81" s="17" t="s">
        <v>154</v>
      </c>
      <c r="B81" s="27"/>
      <c r="C81" s="27"/>
      <c r="D81" s="27"/>
      <c r="E81" s="26">
        <v>2.5099999999999998</v>
      </c>
      <c r="F81" s="27"/>
      <c r="G81" s="27"/>
      <c r="H81" s="27"/>
      <c r="I81" s="27"/>
      <c r="J81" s="27"/>
      <c r="K81" s="27"/>
    </row>
    <row r="82" spans="1:11" ht="15" customHeight="1">
      <c r="A82" s="17" t="s">
        <v>155</v>
      </c>
      <c r="B82" s="27"/>
      <c r="C82" s="27"/>
      <c r="D82" s="27"/>
      <c r="E82" s="27"/>
      <c r="F82" s="27"/>
      <c r="G82" s="27"/>
      <c r="H82" s="27"/>
      <c r="I82" s="27"/>
      <c r="J82" s="27"/>
      <c r="K82" s="27"/>
    </row>
    <row r="83" spans="1:11" ht="15" customHeight="1">
      <c r="A83" s="17" t="s">
        <v>156</v>
      </c>
      <c r="B83" s="27"/>
      <c r="C83" s="27"/>
      <c r="D83" s="27"/>
      <c r="E83" s="15">
        <v>-5.01</v>
      </c>
      <c r="F83" s="26">
        <v>22.79</v>
      </c>
      <c r="G83" s="26">
        <v>3.98</v>
      </c>
      <c r="H83" s="20">
        <v>-1198.81</v>
      </c>
      <c r="I83" s="20">
        <v>-2926.02</v>
      </c>
      <c r="J83" s="14">
        <v>-13659.14</v>
      </c>
      <c r="K83" s="27"/>
    </row>
    <row r="84" spans="1:11" ht="15" customHeight="1">
      <c r="A84" s="19" t="s">
        <v>157</v>
      </c>
      <c r="B84" s="27"/>
      <c r="C84" s="27"/>
      <c r="D84" s="27"/>
      <c r="E84" s="15">
        <v>-5.01</v>
      </c>
      <c r="F84" s="27"/>
      <c r="G84" s="15">
        <v>-5.31</v>
      </c>
      <c r="H84" s="15">
        <v>-62.21</v>
      </c>
      <c r="I84" s="20">
        <v>-2926.02</v>
      </c>
      <c r="J84" s="14">
        <v>-13659.14</v>
      </c>
      <c r="K84" s="27"/>
    </row>
    <row r="85" spans="1:11" ht="15" customHeight="1">
      <c r="A85" s="19" t="s">
        <v>158</v>
      </c>
      <c r="B85" s="27"/>
      <c r="C85" s="27"/>
      <c r="D85" s="27"/>
      <c r="E85" s="27"/>
      <c r="F85" s="26">
        <v>22.79</v>
      </c>
      <c r="G85" s="26">
        <v>9.2799999999999994</v>
      </c>
      <c r="H85" s="20">
        <v>-1136.6099999999999</v>
      </c>
      <c r="I85" s="27"/>
      <c r="J85" s="27"/>
      <c r="K85" s="27"/>
    </row>
    <row r="86" spans="1:11" ht="15" customHeight="1">
      <c r="A86" s="17" t="s">
        <v>159</v>
      </c>
      <c r="B86" s="27"/>
      <c r="C86" s="15">
        <v>-28.34</v>
      </c>
      <c r="D86" s="27"/>
      <c r="E86" s="26">
        <v>57.66</v>
      </c>
      <c r="F86" s="26">
        <v>79.11</v>
      </c>
      <c r="G86" s="26">
        <v>6.63</v>
      </c>
      <c r="H86" s="25">
        <v>1621.32</v>
      </c>
      <c r="I86" s="25">
        <v>1064.01</v>
      </c>
      <c r="J86" s="25">
        <v>4745.59</v>
      </c>
      <c r="K86" s="27"/>
    </row>
    <row r="87" spans="1:11" ht="15" customHeight="1">
      <c r="A87" s="16" t="s">
        <v>160</v>
      </c>
      <c r="B87" s="27"/>
      <c r="C87" s="27"/>
      <c r="D87" s="27"/>
      <c r="E87" s="27"/>
      <c r="F87" s="27"/>
      <c r="G87" s="27"/>
      <c r="H87" s="15">
        <v>-31.1</v>
      </c>
      <c r="I87" s="20">
        <v>-1548</v>
      </c>
      <c r="J87" s="27"/>
      <c r="K87" s="27"/>
    </row>
    <row r="88" spans="1:11" ht="15" customHeight="1">
      <c r="A88" s="12" t="s">
        <v>161</v>
      </c>
      <c r="B88" s="25">
        <v>1544.03</v>
      </c>
      <c r="C88" s="25">
        <v>1586.79</v>
      </c>
      <c r="D88" s="25">
        <v>571.41</v>
      </c>
      <c r="E88" s="25">
        <v>1608.18</v>
      </c>
      <c r="F88" s="25">
        <v>1446.78</v>
      </c>
      <c r="G88" s="25">
        <v>1209.69</v>
      </c>
      <c r="H88" s="25">
        <v>1747.03</v>
      </c>
      <c r="I88" s="20">
        <v>-2237.0100000000002</v>
      </c>
      <c r="J88" s="20">
        <v>-8183.56</v>
      </c>
      <c r="K88" s="25">
        <v>739</v>
      </c>
    </row>
    <row r="89" spans="1:11" ht="15" customHeight="1">
      <c r="A89" s="12" t="s">
        <v>162</v>
      </c>
      <c r="B89" s="25">
        <v>204.13</v>
      </c>
      <c r="C89" s="26">
        <v>99.85</v>
      </c>
      <c r="D89" s="26">
        <v>42.95</v>
      </c>
      <c r="E89" s="27"/>
      <c r="F89" s="27"/>
      <c r="G89" s="27"/>
      <c r="H89" s="27"/>
      <c r="I89" s="27"/>
      <c r="J89" s="27"/>
      <c r="K89" s="27"/>
    </row>
    <row r="90" spans="1:11" ht="15" customHeight="1">
      <c r="A90" s="12" t="s">
        <v>163</v>
      </c>
      <c r="B90" s="25">
        <v>1339.89</v>
      </c>
      <c r="C90" s="25">
        <v>1486.94</v>
      </c>
      <c r="D90" s="25">
        <v>528.46</v>
      </c>
      <c r="E90" s="25">
        <v>1608.18</v>
      </c>
      <c r="F90" s="25">
        <v>1446.78</v>
      </c>
      <c r="G90" s="25">
        <v>1209.69</v>
      </c>
      <c r="H90" s="25">
        <v>1747.03</v>
      </c>
      <c r="I90" s="20">
        <v>-2237.0100000000002</v>
      </c>
      <c r="J90" s="20">
        <v>-8183.56</v>
      </c>
      <c r="K90" s="25">
        <v>739</v>
      </c>
    </row>
    <row r="91" spans="1:11" ht="15" customHeight="1">
      <c r="A91" s="10" t="s">
        <v>164</v>
      </c>
      <c r="B91" s="11"/>
      <c r="C91" s="11"/>
      <c r="D91" s="11"/>
      <c r="E91" s="11"/>
      <c r="F91" s="11"/>
      <c r="G91" s="11"/>
      <c r="H91" s="11"/>
      <c r="I91" s="11"/>
      <c r="J91" s="11"/>
      <c r="K91" s="11"/>
    </row>
    <row r="92" spans="1:11" ht="15" customHeight="1">
      <c r="A92" s="12" t="s">
        <v>165</v>
      </c>
      <c r="B92" s="27"/>
      <c r="C92" s="27"/>
      <c r="D92" s="27"/>
      <c r="E92" s="27"/>
      <c r="F92" s="27"/>
      <c r="G92" s="26">
        <v>3.98</v>
      </c>
      <c r="H92" s="26">
        <v>92.02</v>
      </c>
      <c r="I92" s="27"/>
      <c r="J92" s="27"/>
      <c r="K92" s="27"/>
    </row>
    <row r="93" spans="1:11" ht="15" customHeight="1">
      <c r="A93" s="12" t="s">
        <v>166</v>
      </c>
      <c r="B93" s="27"/>
      <c r="C93" s="27"/>
      <c r="D93" s="27"/>
      <c r="E93" s="27"/>
      <c r="F93" s="27"/>
      <c r="G93" s="26">
        <v>1.33</v>
      </c>
      <c r="H93" s="25">
        <v>383.62</v>
      </c>
      <c r="I93" s="27"/>
      <c r="J93" s="27"/>
      <c r="K93" s="27"/>
    </row>
    <row r="94" spans="1:11" ht="15" customHeight="1">
      <c r="A94" s="18" t="s">
        <v>167</v>
      </c>
      <c r="B94" s="29">
        <v>1339.89</v>
      </c>
      <c r="C94" s="29">
        <v>1486.94</v>
      </c>
      <c r="D94" s="29">
        <v>528.46</v>
      </c>
      <c r="E94" s="29">
        <v>1608.18</v>
      </c>
      <c r="F94" s="29">
        <v>1446.78</v>
      </c>
      <c r="G94" s="29">
        <v>1204.3800000000001</v>
      </c>
      <c r="H94" s="29">
        <v>1271.3900000000001</v>
      </c>
      <c r="I94" s="21">
        <v>-2237.0100000000002</v>
      </c>
      <c r="J94" s="21">
        <v>-8183.56</v>
      </c>
      <c r="K94" s="29">
        <v>739</v>
      </c>
    </row>
    <row r="95" spans="1:11" ht="15" customHeight="1">
      <c r="A95" s="10" t="s">
        <v>168</v>
      </c>
      <c r="B95" s="11"/>
      <c r="C95" s="11"/>
      <c r="D95" s="11"/>
      <c r="E95" s="11"/>
      <c r="F95" s="11"/>
      <c r="G95" s="11"/>
      <c r="H95" s="11"/>
      <c r="I95" s="11"/>
      <c r="J95" s="11"/>
      <c r="K95" s="11"/>
    </row>
    <row r="96" spans="1:11" ht="15" customHeight="1">
      <c r="A96" s="12" t="s">
        <v>169</v>
      </c>
      <c r="B96" s="25">
        <v>1544.03</v>
      </c>
      <c r="C96" s="25">
        <v>1586.79</v>
      </c>
      <c r="D96" s="25">
        <v>571.41</v>
      </c>
      <c r="E96" s="25">
        <v>1608.18</v>
      </c>
      <c r="F96" s="25">
        <v>1446.78</v>
      </c>
      <c r="G96" s="25">
        <v>1209.69</v>
      </c>
      <c r="H96" s="25">
        <v>1747.03</v>
      </c>
      <c r="I96" s="20">
        <v>-2237.0100000000002</v>
      </c>
      <c r="J96" s="20">
        <v>-8183.56</v>
      </c>
      <c r="K96" s="25">
        <v>739</v>
      </c>
    </row>
    <row r="97" spans="1:11" ht="15" customHeight="1">
      <c r="A97" s="12" t="s">
        <v>170</v>
      </c>
      <c r="B97" s="27"/>
      <c r="C97" s="27"/>
      <c r="D97" s="27"/>
      <c r="E97" s="27"/>
      <c r="F97" s="27"/>
      <c r="G97" s="27"/>
      <c r="H97" s="20">
        <v>-137.38</v>
      </c>
      <c r="I97" s="26">
        <v>28.55</v>
      </c>
      <c r="J97" s="26">
        <v>72.87</v>
      </c>
      <c r="K97" s="15">
        <v>-14.06</v>
      </c>
    </row>
    <row r="98" spans="1:11" ht="15" customHeight="1">
      <c r="A98" s="12" t="s">
        <v>171</v>
      </c>
      <c r="B98" s="26">
        <v>4.1100000000000003</v>
      </c>
      <c r="C98" s="26">
        <v>2.7</v>
      </c>
      <c r="D98" s="26">
        <v>11.71</v>
      </c>
      <c r="E98" s="26">
        <v>1.25</v>
      </c>
      <c r="F98" s="26">
        <v>1.34</v>
      </c>
      <c r="G98" s="26">
        <v>2.65</v>
      </c>
      <c r="H98" s="26">
        <v>27.22</v>
      </c>
      <c r="I98" s="26">
        <v>12.98</v>
      </c>
      <c r="J98" s="26">
        <v>10.6</v>
      </c>
      <c r="K98" s="26">
        <v>6.39</v>
      </c>
    </row>
    <row r="99" spans="1:11" ht="15" customHeight="1">
      <c r="A99" s="12" t="s">
        <v>172</v>
      </c>
      <c r="B99" s="26">
        <v>1.37</v>
      </c>
      <c r="C99" s="15">
        <v>-8.1</v>
      </c>
      <c r="D99" s="15">
        <v>-11.71</v>
      </c>
      <c r="E99" s="15">
        <v>-17.55</v>
      </c>
      <c r="F99" s="15">
        <v>-45.59</v>
      </c>
      <c r="G99" s="15">
        <v>-41.12</v>
      </c>
      <c r="H99" s="20">
        <v>-107.57</v>
      </c>
      <c r="I99" s="20">
        <v>-110.29</v>
      </c>
      <c r="J99" s="15">
        <v>-78.17</v>
      </c>
      <c r="K99" s="20">
        <v>-148.31</v>
      </c>
    </row>
    <row r="100" spans="1:11" ht="15" customHeight="1">
      <c r="A100" s="12" t="s">
        <v>173</v>
      </c>
      <c r="B100" s="15">
        <v>-1.37</v>
      </c>
      <c r="C100" s="26">
        <v>1.35</v>
      </c>
      <c r="D100" s="26">
        <v>1.3</v>
      </c>
      <c r="E100" s="26">
        <v>3.76</v>
      </c>
      <c r="F100" s="26">
        <v>10.73</v>
      </c>
      <c r="G100" s="26">
        <v>10.61</v>
      </c>
      <c r="H100" s="26">
        <v>86.83</v>
      </c>
      <c r="I100" s="26">
        <v>27.25</v>
      </c>
      <c r="J100" s="15">
        <v>-1.32</v>
      </c>
      <c r="K100" s="26">
        <v>60.09</v>
      </c>
    </row>
    <row r="101" spans="1:11" ht="15" customHeight="1">
      <c r="A101" s="12" t="s">
        <v>174</v>
      </c>
      <c r="B101" s="26">
        <v>4.1100000000000003</v>
      </c>
      <c r="C101" s="15">
        <v>-4.05</v>
      </c>
      <c r="D101" s="26">
        <v>1.3</v>
      </c>
      <c r="E101" s="15">
        <v>-12.53</v>
      </c>
      <c r="F101" s="15">
        <v>-33.520000000000003</v>
      </c>
      <c r="G101" s="15">
        <v>-27.85</v>
      </c>
      <c r="H101" s="20">
        <v>-130.9</v>
      </c>
      <c r="I101" s="15">
        <v>-41.52</v>
      </c>
      <c r="J101" s="26">
        <v>3.97</v>
      </c>
      <c r="K101" s="15">
        <v>-95.89</v>
      </c>
    </row>
    <row r="102" spans="1:11" ht="15" customHeight="1">
      <c r="A102" s="18" t="s">
        <v>175</v>
      </c>
      <c r="B102" s="29">
        <v>1548.14</v>
      </c>
      <c r="C102" s="29">
        <v>1582.74</v>
      </c>
      <c r="D102" s="29">
        <v>572.71</v>
      </c>
      <c r="E102" s="29">
        <v>1595.65</v>
      </c>
      <c r="F102" s="29">
        <v>1413.25</v>
      </c>
      <c r="G102" s="29">
        <v>1181.8399999999999</v>
      </c>
      <c r="H102" s="29">
        <v>1616.13</v>
      </c>
      <c r="I102" s="21">
        <v>-2278.5300000000002</v>
      </c>
      <c r="J102" s="21">
        <v>-8179.58</v>
      </c>
      <c r="K102" s="29">
        <v>643.11</v>
      </c>
    </row>
    <row r="103" spans="1:11" ht="15" customHeight="1">
      <c r="A103" s="12" t="s">
        <v>176</v>
      </c>
      <c r="B103" s="25">
        <v>204.13</v>
      </c>
      <c r="C103" s="26">
        <v>99.85</v>
      </c>
      <c r="D103" s="26">
        <v>42.95</v>
      </c>
      <c r="E103" s="27"/>
      <c r="F103" s="27"/>
      <c r="G103" s="27"/>
      <c r="H103" s="27"/>
      <c r="I103" s="27"/>
      <c r="J103" s="27"/>
      <c r="K103" s="27"/>
    </row>
    <row r="104" spans="1:11" ht="15" customHeight="1">
      <c r="A104" s="12" t="s">
        <v>177</v>
      </c>
      <c r="B104" s="25">
        <v>1344</v>
      </c>
      <c r="C104" s="25">
        <v>1482.89</v>
      </c>
      <c r="D104" s="25">
        <v>529.76</v>
      </c>
      <c r="E104" s="25">
        <v>1595.65</v>
      </c>
      <c r="F104" s="25">
        <v>1413.25</v>
      </c>
      <c r="G104" s="25">
        <v>1181.8399999999999</v>
      </c>
      <c r="H104" s="25">
        <v>1616.13</v>
      </c>
      <c r="I104" s="20">
        <v>-2278.5300000000002</v>
      </c>
      <c r="J104" s="20">
        <v>-8179.58</v>
      </c>
      <c r="K104" s="25">
        <v>643.11</v>
      </c>
    </row>
    <row r="105" spans="1:11" ht="15" customHeight="1">
      <c r="A105" s="10" t="s">
        <v>178</v>
      </c>
      <c r="B105" s="11"/>
      <c r="C105" s="11"/>
      <c r="D105" s="11"/>
      <c r="E105" s="11"/>
      <c r="F105" s="11"/>
      <c r="G105" s="11"/>
      <c r="H105" s="11"/>
      <c r="I105" s="11"/>
      <c r="J105" s="11"/>
      <c r="K105" s="11"/>
    </row>
    <row r="106" spans="1:11" ht="15" customHeight="1">
      <c r="A106" s="12" t="s">
        <v>179</v>
      </c>
      <c r="B106" s="25">
        <v>1339.89</v>
      </c>
      <c r="C106" s="25">
        <v>1486.94</v>
      </c>
      <c r="D106" s="25">
        <v>528.46</v>
      </c>
      <c r="E106" s="25">
        <v>1608.18</v>
      </c>
      <c r="F106" s="25">
        <v>1446.78</v>
      </c>
      <c r="G106" s="25">
        <v>1204.3800000000001</v>
      </c>
      <c r="H106" s="25">
        <v>1271.3900000000001</v>
      </c>
      <c r="I106" s="20">
        <v>-2237.0100000000002</v>
      </c>
      <c r="J106" s="20">
        <v>-8183.56</v>
      </c>
      <c r="K106" s="25">
        <v>739</v>
      </c>
    </row>
    <row r="107" spans="1:11" ht="15" customHeight="1">
      <c r="A107" s="16" t="s">
        <v>180</v>
      </c>
      <c r="B107" s="25">
        <v>1339.89</v>
      </c>
      <c r="C107" s="25">
        <v>1515.28</v>
      </c>
      <c r="D107" s="25">
        <v>528.46</v>
      </c>
      <c r="E107" s="25">
        <v>1553.03</v>
      </c>
      <c r="F107" s="25">
        <v>1344.87</v>
      </c>
      <c r="G107" s="25">
        <v>1193.77</v>
      </c>
      <c r="H107" s="25">
        <v>879.99</v>
      </c>
      <c r="I107" s="25">
        <v>1173</v>
      </c>
      <c r="J107" s="25">
        <v>729.99</v>
      </c>
      <c r="K107" s="25">
        <v>739</v>
      </c>
    </row>
    <row r="108" spans="1:11" ht="15" customHeight="1">
      <c r="A108" s="16" t="s">
        <v>181</v>
      </c>
      <c r="B108" s="25">
        <v>575</v>
      </c>
      <c r="C108" s="25">
        <v>573</v>
      </c>
      <c r="D108" s="25">
        <v>571</v>
      </c>
      <c r="E108" s="25">
        <v>545</v>
      </c>
      <c r="F108" s="25">
        <v>542</v>
      </c>
      <c r="G108" s="25">
        <v>535</v>
      </c>
      <c r="H108" s="25">
        <v>492</v>
      </c>
      <c r="I108" s="25">
        <v>444</v>
      </c>
      <c r="J108" s="25">
        <v>426</v>
      </c>
      <c r="K108" s="25">
        <v>422</v>
      </c>
    </row>
    <row r="109" spans="1:11" ht="15" customHeight="1">
      <c r="A109" s="17" t="s">
        <v>182</v>
      </c>
      <c r="B109" s="26">
        <v>2.33</v>
      </c>
      <c r="C109" s="26">
        <v>2.6</v>
      </c>
      <c r="D109" s="26">
        <v>0.93</v>
      </c>
      <c r="E109" s="26">
        <v>2.95</v>
      </c>
      <c r="F109" s="26">
        <v>2.67</v>
      </c>
      <c r="G109" s="26">
        <v>2.25</v>
      </c>
      <c r="H109" s="26">
        <v>2.58</v>
      </c>
      <c r="I109" s="15">
        <v>-5.04</v>
      </c>
      <c r="J109" s="15">
        <v>-19.21</v>
      </c>
      <c r="K109" s="26">
        <v>1.75</v>
      </c>
    </row>
    <row r="110" spans="1:11" ht="15" customHeight="1">
      <c r="A110" s="17" t="s">
        <v>183</v>
      </c>
      <c r="B110" s="26">
        <v>2.33</v>
      </c>
      <c r="C110" s="26">
        <v>2.64</v>
      </c>
      <c r="D110" s="26">
        <v>0.93</v>
      </c>
      <c r="E110" s="26">
        <v>2.85</v>
      </c>
      <c r="F110" s="26">
        <v>2.48</v>
      </c>
      <c r="G110" s="26">
        <v>2.23</v>
      </c>
      <c r="H110" s="26">
        <v>1.79</v>
      </c>
      <c r="I110" s="26">
        <v>2.64</v>
      </c>
      <c r="J110" s="26">
        <v>1.71</v>
      </c>
      <c r="K110" s="26">
        <v>1.75</v>
      </c>
    </row>
    <row r="111" spans="1:11" ht="15" customHeight="1">
      <c r="A111" s="17" t="s">
        <v>184</v>
      </c>
      <c r="B111" s="26">
        <v>2.59</v>
      </c>
      <c r="C111" s="26">
        <v>2.91</v>
      </c>
      <c r="D111" s="26">
        <v>1.1499999999999999</v>
      </c>
      <c r="E111" s="26">
        <v>1.97</v>
      </c>
      <c r="F111" s="26">
        <v>3.66</v>
      </c>
      <c r="G111" s="26">
        <v>3.9</v>
      </c>
      <c r="H111" s="26">
        <v>2.17</v>
      </c>
      <c r="I111" s="26">
        <v>3.06</v>
      </c>
      <c r="J111" s="26">
        <v>2.16</v>
      </c>
      <c r="K111" s="26">
        <v>3.49</v>
      </c>
    </row>
    <row r="112" spans="1:11" ht="15" customHeight="1">
      <c r="A112" s="12" t="s">
        <v>185</v>
      </c>
      <c r="B112" s="25">
        <v>1339.89</v>
      </c>
      <c r="C112" s="25">
        <v>1486.94</v>
      </c>
      <c r="D112" s="25">
        <v>528.46</v>
      </c>
      <c r="E112" s="25">
        <v>1608.18</v>
      </c>
      <c r="F112" s="25">
        <v>1446.78</v>
      </c>
      <c r="G112" s="25">
        <v>1204.3800000000001</v>
      </c>
      <c r="H112" s="25">
        <v>1271.3900000000001</v>
      </c>
      <c r="I112" s="20">
        <v>-2237.0100000000002</v>
      </c>
      <c r="J112" s="20">
        <v>-8183.56</v>
      </c>
      <c r="K112" s="25">
        <v>739</v>
      </c>
    </row>
    <row r="113" spans="1:11" ht="15" customHeight="1">
      <c r="A113" s="12" t="s">
        <v>186</v>
      </c>
      <c r="B113" s="26">
        <v>1</v>
      </c>
      <c r="C113" s="26">
        <v>1</v>
      </c>
      <c r="D113" s="26">
        <v>1</v>
      </c>
      <c r="E113" s="26">
        <v>1</v>
      </c>
      <c r="F113" s="26">
        <v>1</v>
      </c>
      <c r="G113" s="26">
        <v>1</v>
      </c>
      <c r="H113" s="26">
        <v>1</v>
      </c>
      <c r="I113" s="26">
        <v>1</v>
      </c>
      <c r="J113" s="26">
        <v>1</v>
      </c>
      <c r="K113" s="26">
        <v>1</v>
      </c>
    </row>
    <row r="114" spans="1:11" ht="15" customHeight="1">
      <c r="A114" s="16" t="s">
        <v>187</v>
      </c>
      <c r="B114" s="25">
        <v>575</v>
      </c>
      <c r="C114" s="25">
        <v>573</v>
      </c>
      <c r="D114" s="25">
        <v>571</v>
      </c>
      <c r="E114" s="25">
        <v>545</v>
      </c>
      <c r="F114" s="25">
        <v>542</v>
      </c>
      <c r="G114" s="25">
        <v>535</v>
      </c>
      <c r="H114" s="25">
        <v>492</v>
      </c>
      <c r="I114" s="25">
        <v>444</v>
      </c>
      <c r="J114" s="25">
        <v>426</v>
      </c>
      <c r="K114" s="25">
        <v>422</v>
      </c>
    </row>
    <row r="115" spans="1:11" ht="15" customHeight="1">
      <c r="A115" s="17" t="s">
        <v>188</v>
      </c>
      <c r="B115" s="26">
        <v>2.33</v>
      </c>
      <c r="C115" s="26">
        <v>2.6</v>
      </c>
      <c r="D115" s="26">
        <v>0.93</v>
      </c>
      <c r="E115" s="26">
        <v>2.95</v>
      </c>
      <c r="F115" s="26">
        <v>2.67</v>
      </c>
      <c r="G115" s="26">
        <v>2.25</v>
      </c>
      <c r="H115" s="26">
        <v>2.58</v>
      </c>
      <c r="I115" s="15">
        <v>-5.04</v>
      </c>
      <c r="J115" s="15">
        <v>-19.21</v>
      </c>
      <c r="K115" s="26">
        <v>1.75</v>
      </c>
    </row>
    <row r="116" spans="1:11" ht="15" customHeight="1">
      <c r="A116" s="17" t="s">
        <v>189</v>
      </c>
      <c r="B116" s="26">
        <v>2.33</v>
      </c>
      <c r="C116" s="26">
        <v>2.64</v>
      </c>
      <c r="D116" s="26">
        <v>0.93</v>
      </c>
      <c r="E116" s="26">
        <v>2.85</v>
      </c>
      <c r="F116" s="26">
        <v>2.48</v>
      </c>
      <c r="G116" s="26">
        <v>2.23</v>
      </c>
      <c r="H116" s="26">
        <v>1.79</v>
      </c>
      <c r="I116" s="26">
        <v>2.64</v>
      </c>
      <c r="J116" s="26">
        <v>1.71</v>
      </c>
      <c r="K116" s="26">
        <v>1.75</v>
      </c>
    </row>
    <row r="117" spans="1:11" ht="15" customHeight="1">
      <c r="A117" s="17" t="s">
        <v>190</v>
      </c>
      <c r="B117" s="26">
        <v>2.59</v>
      </c>
      <c r="C117" s="26">
        <v>2.91</v>
      </c>
      <c r="D117" s="26">
        <v>1.1499999999999999</v>
      </c>
      <c r="E117" s="26">
        <v>1.97</v>
      </c>
      <c r="F117" s="26">
        <v>3.66</v>
      </c>
      <c r="G117" s="26">
        <v>3.9</v>
      </c>
      <c r="H117" s="26">
        <v>2.17</v>
      </c>
      <c r="I117" s="26">
        <v>3.06</v>
      </c>
      <c r="J117" s="26">
        <v>2.16</v>
      </c>
      <c r="K117" s="26">
        <v>3.49</v>
      </c>
    </row>
    <row r="118" spans="1:11" ht="15" customHeight="1">
      <c r="A118" s="12" t="s">
        <v>191</v>
      </c>
      <c r="B118" s="27"/>
      <c r="C118" s="15">
        <v>-0.05</v>
      </c>
      <c r="D118" s="27"/>
      <c r="E118" s="26">
        <v>0.1</v>
      </c>
      <c r="F118" s="26">
        <v>0.19</v>
      </c>
      <c r="G118" s="26">
        <v>0.02</v>
      </c>
      <c r="H118" s="26">
        <v>0.8</v>
      </c>
      <c r="I118" s="15">
        <v>-7.68</v>
      </c>
      <c r="J118" s="15">
        <v>-20.92</v>
      </c>
      <c r="K118" s="27"/>
    </row>
    <row r="119" spans="1:11" ht="15" customHeight="1">
      <c r="A119" s="12" t="s">
        <v>192</v>
      </c>
      <c r="B119" s="26">
        <v>2.34</v>
      </c>
      <c r="C119" s="26">
        <v>2.59</v>
      </c>
      <c r="D119" s="26">
        <v>0.93</v>
      </c>
      <c r="E119" s="26">
        <v>2.93</v>
      </c>
      <c r="F119" s="26">
        <v>2.61</v>
      </c>
      <c r="G119" s="26">
        <v>2.21</v>
      </c>
      <c r="H119" s="26">
        <v>3.28</v>
      </c>
      <c r="I119" s="15">
        <v>-5.13</v>
      </c>
      <c r="J119" s="15">
        <v>-19.2</v>
      </c>
      <c r="K119" s="26">
        <v>1.52</v>
      </c>
    </row>
    <row r="120" spans="1:11" ht="15" customHeight="1">
      <c r="A120" s="10" t="s">
        <v>193</v>
      </c>
      <c r="B120" s="11"/>
      <c r="C120" s="11"/>
      <c r="D120" s="11"/>
      <c r="E120" s="11"/>
      <c r="F120" s="11"/>
      <c r="G120" s="11"/>
      <c r="H120" s="11"/>
      <c r="I120" s="11"/>
      <c r="J120" s="11"/>
      <c r="K120" s="11"/>
    </row>
    <row r="121" spans="1:11" ht="15" customHeight="1">
      <c r="A121" s="12" t="s">
        <v>194</v>
      </c>
      <c r="B121" s="27"/>
      <c r="C121" s="27"/>
      <c r="D121" s="27"/>
      <c r="E121" s="27"/>
      <c r="F121" s="27"/>
      <c r="G121" s="27"/>
      <c r="H121" s="27"/>
      <c r="I121" s="27"/>
      <c r="J121" s="27"/>
      <c r="K121" s="27"/>
    </row>
    <row r="122" spans="1:11" ht="15" customHeight="1">
      <c r="A122" s="12" t="s">
        <v>195</v>
      </c>
      <c r="B122" s="25">
        <v>1339.89</v>
      </c>
      <c r="C122" s="25">
        <v>1486.94</v>
      </c>
      <c r="D122" s="25">
        <v>528.46</v>
      </c>
      <c r="E122" s="25">
        <v>1608.18</v>
      </c>
      <c r="F122" s="25">
        <v>1446.78</v>
      </c>
      <c r="G122" s="25">
        <v>1204.3800000000001</v>
      </c>
      <c r="H122" s="25">
        <v>1271.3900000000001</v>
      </c>
      <c r="I122" s="20">
        <v>-2237.0100000000002</v>
      </c>
      <c r="J122" s="20">
        <v>-8183.56</v>
      </c>
      <c r="K122" s="25">
        <v>739</v>
      </c>
    </row>
    <row r="123" spans="1:11" ht="15" customHeight="1">
      <c r="A123" s="16" t="s">
        <v>196</v>
      </c>
      <c r="B123" s="25">
        <v>1339.89</v>
      </c>
      <c r="C123" s="25">
        <v>1515.28</v>
      </c>
      <c r="D123" s="25">
        <v>528.46</v>
      </c>
      <c r="E123" s="25">
        <v>1553.03</v>
      </c>
      <c r="F123" s="25">
        <v>1344.87</v>
      </c>
      <c r="G123" s="25">
        <v>1193.77</v>
      </c>
      <c r="H123" s="25">
        <v>879.99</v>
      </c>
      <c r="I123" s="25">
        <v>1173</v>
      </c>
      <c r="J123" s="25">
        <v>729.99</v>
      </c>
      <c r="K123" s="25">
        <v>739</v>
      </c>
    </row>
    <row r="124" spans="1:11" ht="15" customHeight="1">
      <c r="A124" s="16" t="s">
        <v>50</v>
      </c>
      <c r="B124" s="25">
        <v>577</v>
      </c>
      <c r="C124" s="25">
        <v>574</v>
      </c>
      <c r="D124" s="25">
        <v>572</v>
      </c>
      <c r="E124" s="25">
        <v>546</v>
      </c>
      <c r="F124" s="25">
        <v>543</v>
      </c>
      <c r="G124" s="25">
        <v>542</v>
      </c>
      <c r="H124" s="25">
        <v>494</v>
      </c>
      <c r="I124" s="25">
        <v>444</v>
      </c>
      <c r="J124" s="25">
        <v>426</v>
      </c>
      <c r="K124" s="25">
        <v>424</v>
      </c>
    </row>
    <row r="125" spans="1:11" ht="15" customHeight="1">
      <c r="A125" s="17" t="s">
        <v>197</v>
      </c>
      <c r="B125" s="26">
        <v>2.3199999999999998</v>
      </c>
      <c r="C125" s="26">
        <v>2.59</v>
      </c>
      <c r="D125" s="26">
        <v>0.92</v>
      </c>
      <c r="E125" s="26">
        <v>2.95</v>
      </c>
      <c r="F125" s="26">
        <v>2.66</v>
      </c>
      <c r="G125" s="26">
        <v>2.2200000000000002</v>
      </c>
      <c r="H125" s="26">
        <v>2.57</v>
      </c>
      <c r="I125" s="15">
        <v>-5.04</v>
      </c>
      <c r="J125" s="15">
        <v>-19.21</v>
      </c>
      <c r="K125" s="26">
        <v>1.74</v>
      </c>
    </row>
    <row r="126" spans="1:11" ht="15" customHeight="1">
      <c r="A126" s="17" t="s">
        <v>198</v>
      </c>
      <c r="B126" s="26">
        <v>2.3199999999999998</v>
      </c>
      <c r="C126" s="26">
        <v>2.64</v>
      </c>
      <c r="D126" s="26">
        <v>0.92</v>
      </c>
      <c r="E126" s="26">
        <v>2.85</v>
      </c>
      <c r="F126" s="26">
        <v>2.48</v>
      </c>
      <c r="G126" s="26">
        <v>2.2200000000000002</v>
      </c>
      <c r="H126" s="26">
        <v>1.79</v>
      </c>
      <c r="I126" s="26">
        <v>2.64</v>
      </c>
      <c r="J126" s="26">
        <v>1.71</v>
      </c>
      <c r="K126" s="26">
        <v>1.74</v>
      </c>
    </row>
    <row r="127" spans="1:11" ht="15" customHeight="1">
      <c r="A127" s="17" t="s">
        <v>199</v>
      </c>
      <c r="B127" s="26">
        <v>2.58</v>
      </c>
      <c r="C127" s="26">
        <v>2.91</v>
      </c>
      <c r="D127" s="26">
        <v>1.1499999999999999</v>
      </c>
      <c r="E127" s="26">
        <v>1.97</v>
      </c>
      <c r="F127" s="26">
        <v>3.65</v>
      </c>
      <c r="G127" s="26">
        <v>3.85</v>
      </c>
      <c r="H127" s="26">
        <v>2.16</v>
      </c>
      <c r="I127" s="26">
        <v>3.06</v>
      </c>
      <c r="J127" s="26">
        <v>2.16</v>
      </c>
      <c r="K127" s="26">
        <v>3.47</v>
      </c>
    </row>
    <row r="128" spans="1:11" ht="15" customHeight="1">
      <c r="A128" s="12" t="s">
        <v>200</v>
      </c>
      <c r="B128" s="25">
        <v>1339.89</v>
      </c>
      <c r="C128" s="25">
        <v>1486.94</v>
      </c>
      <c r="D128" s="25">
        <v>528.46</v>
      </c>
      <c r="E128" s="25">
        <v>1608.18</v>
      </c>
      <c r="F128" s="25">
        <v>1446.78</v>
      </c>
      <c r="G128" s="25">
        <v>1204.3800000000001</v>
      </c>
      <c r="H128" s="25">
        <v>1271.3900000000001</v>
      </c>
      <c r="I128" s="20">
        <v>-2237.0100000000002</v>
      </c>
      <c r="J128" s="20">
        <v>-8183.56</v>
      </c>
      <c r="K128" s="25">
        <v>739</v>
      </c>
    </row>
    <row r="129" spans="1:11" ht="15" customHeight="1">
      <c r="A129" s="12" t="s">
        <v>201</v>
      </c>
      <c r="B129" s="26">
        <v>1</v>
      </c>
      <c r="C129" s="26">
        <v>1</v>
      </c>
      <c r="D129" s="26">
        <v>1</v>
      </c>
      <c r="E129" s="26">
        <v>1</v>
      </c>
      <c r="F129" s="26">
        <v>1</v>
      </c>
      <c r="G129" s="26">
        <v>1</v>
      </c>
      <c r="H129" s="26">
        <v>1</v>
      </c>
      <c r="I129" s="26">
        <v>1</v>
      </c>
      <c r="J129" s="26">
        <v>1</v>
      </c>
      <c r="K129" s="26">
        <v>1</v>
      </c>
    </row>
    <row r="130" spans="1:11" ht="15" customHeight="1">
      <c r="A130" s="16" t="s">
        <v>202</v>
      </c>
      <c r="B130" s="25">
        <v>577</v>
      </c>
      <c r="C130" s="25">
        <v>574</v>
      </c>
      <c r="D130" s="25">
        <v>572</v>
      </c>
      <c r="E130" s="25">
        <v>546</v>
      </c>
      <c r="F130" s="25">
        <v>543</v>
      </c>
      <c r="G130" s="25">
        <v>542</v>
      </c>
      <c r="H130" s="25">
        <v>494</v>
      </c>
      <c r="I130" s="25">
        <v>444</v>
      </c>
      <c r="J130" s="25">
        <v>426</v>
      </c>
      <c r="K130" s="25">
        <v>424</v>
      </c>
    </row>
    <row r="131" spans="1:11" ht="15" customHeight="1">
      <c r="A131" s="17" t="s">
        <v>203</v>
      </c>
      <c r="B131" s="26">
        <v>2.3199999999999998</v>
      </c>
      <c r="C131" s="26">
        <v>2.59</v>
      </c>
      <c r="D131" s="26">
        <v>0.92</v>
      </c>
      <c r="E131" s="26">
        <v>2.95</v>
      </c>
      <c r="F131" s="26">
        <v>2.66</v>
      </c>
      <c r="G131" s="26">
        <v>2.2200000000000002</v>
      </c>
      <c r="H131" s="26">
        <v>2.57</v>
      </c>
      <c r="I131" s="15">
        <v>-5.04</v>
      </c>
      <c r="J131" s="15">
        <v>-19.21</v>
      </c>
      <c r="K131" s="26">
        <v>1.74</v>
      </c>
    </row>
    <row r="132" spans="1:11" ht="15" customHeight="1">
      <c r="A132" s="17" t="s">
        <v>204</v>
      </c>
      <c r="B132" s="26">
        <v>2.3199999999999998</v>
      </c>
      <c r="C132" s="26">
        <v>2.64</v>
      </c>
      <c r="D132" s="26">
        <v>0.92</v>
      </c>
      <c r="E132" s="26">
        <v>2.85</v>
      </c>
      <c r="F132" s="26">
        <v>2.48</v>
      </c>
      <c r="G132" s="26">
        <v>2.2200000000000002</v>
      </c>
      <c r="H132" s="26">
        <v>1.79</v>
      </c>
      <c r="I132" s="26">
        <v>2.64</v>
      </c>
      <c r="J132" s="26">
        <v>1.71</v>
      </c>
      <c r="K132" s="26">
        <v>1.74</v>
      </c>
    </row>
    <row r="133" spans="1:11" ht="15" customHeight="1">
      <c r="A133" s="17" t="s">
        <v>205</v>
      </c>
      <c r="B133" s="26">
        <v>2.58</v>
      </c>
      <c r="C133" s="26">
        <v>2.91</v>
      </c>
      <c r="D133" s="26">
        <v>1.1499999999999999</v>
      </c>
      <c r="E133" s="26">
        <v>1.97</v>
      </c>
      <c r="F133" s="26">
        <v>3.65</v>
      </c>
      <c r="G133" s="26">
        <v>3.85</v>
      </c>
      <c r="H133" s="26">
        <v>2.16</v>
      </c>
      <c r="I133" s="26">
        <v>3.06</v>
      </c>
      <c r="J133" s="26">
        <v>2.16</v>
      </c>
      <c r="K133" s="26">
        <v>3.47</v>
      </c>
    </row>
    <row r="134" spans="1:11" ht="15" customHeight="1">
      <c r="A134" s="12" t="s">
        <v>206</v>
      </c>
      <c r="B134" s="27"/>
      <c r="C134" s="15">
        <v>-0.05</v>
      </c>
      <c r="D134" s="27"/>
      <c r="E134" s="26">
        <v>0.1</v>
      </c>
      <c r="F134" s="26">
        <v>0.19</v>
      </c>
      <c r="G134" s="26">
        <v>0.01</v>
      </c>
      <c r="H134" s="26">
        <v>0.79</v>
      </c>
      <c r="I134" s="15">
        <v>-7.68</v>
      </c>
      <c r="J134" s="15">
        <v>-20.92</v>
      </c>
      <c r="K134" s="27"/>
    </row>
    <row r="135" spans="1:11" ht="15" customHeight="1">
      <c r="A135" s="12" t="s">
        <v>207</v>
      </c>
      <c r="B135" s="26">
        <v>2.33</v>
      </c>
      <c r="C135" s="26">
        <v>2.58</v>
      </c>
      <c r="D135" s="26">
        <v>0.93</v>
      </c>
      <c r="E135" s="26">
        <v>2.92</v>
      </c>
      <c r="F135" s="26">
        <v>2.6</v>
      </c>
      <c r="G135" s="26">
        <v>2.1800000000000002</v>
      </c>
      <c r="H135" s="26">
        <v>3.27</v>
      </c>
      <c r="I135" s="15">
        <v>-5.13</v>
      </c>
      <c r="J135" s="15">
        <v>-19.2</v>
      </c>
      <c r="K135" s="26">
        <v>1.52</v>
      </c>
    </row>
    <row r="136" spans="1:11" ht="15" customHeight="1">
      <c r="A136" s="10" t="s">
        <v>208</v>
      </c>
      <c r="B136" s="11"/>
      <c r="C136" s="11"/>
      <c r="D136" s="11"/>
      <c r="E136" s="11"/>
      <c r="F136" s="11"/>
      <c r="G136" s="11"/>
      <c r="H136" s="11"/>
      <c r="I136" s="11"/>
      <c r="J136" s="11"/>
      <c r="K136" s="11"/>
    </row>
    <row r="137" spans="1:11" ht="15" customHeight="1">
      <c r="A137" s="12" t="s">
        <v>209</v>
      </c>
      <c r="B137" s="26">
        <v>2.33</v>
      </c>
      <c r="C137" s="26">
        <v>2.16</v>
      </c>
      <c r="D137" s="26">
        <v>2.0299999999999998</v>
      </c>
      <c r="E137" s="26">
        <v>1.96</v>
      </c>
      <c r="F137" s="26">
        <v>2.09</v>
      </c>
      <c r="G137" s="26">
        <v>2.0299999999999998</v>
      </c>
      <c r="H137" s="26">
        <v>2.36</v>
      </c>
      <c r="I137" s="26">
        <v>1.87</v>
      </c>
      <c r="J137" s="26">
        <v>1.91</v>
      </c>
      <c r="K137" s="26">
        <v>1.84</v>
      </c>
    </row>
    <row r="138" spans="1:11" ht="15" customHeight="1">
      <c r="A138" s="12" t="s">
        <v>210</v>
      </c>
      <c r="B138" s="26">
        <v>2.33</v>
      </c>
      <c r="C138" s="26">
        <v>2.16</v>
      </c>
      <c r="D138" s="26">
        <v>2.0299999999999998</v>
      </c>
      <c r="E138" s="26">
        <v>1.96</v>
      </c>
      <c r="F138" s="26">
        <v>2.09</v>
      </c>
      <c r="G138" s="26">
        <v>2.0299999999999998</v>
      </c>
      <c r="H138" s="26">
        <v>2.36</v>
      </c>
      <c r="I138" s="26">
        <v>1.87</v>
      </c>
      <c r="J138" s="26">
        <v>1.91</v>
      </c>
      <c r="K138" s="26">
        <v>1.84</v>
      </c>
    </row>
    <row r="139" spans="1:11" ht="15" customHeight="1">
      <c r="A139" s="10" t="s">
        <v>211</v>
      </c>
      <c r="B139" s="11"/>
      <c r="C139" s="11"/>
      <c r="D139" s="11"/>
      <c r="E139" s="11"/>
      <c r="F139" s="11"/>
      <c r="G139" s="11"/>
      <c r="H139" s="11"/>
      <c r="I139" s="11"/>
      <c r="J139" s="11"/>
      <c r="K139" s="11"/>
    </row>
    <row r="140" spans="1:11" ht="15" customHeight="1">
      <c r="A140" s="12" t="s">
        <v>212</v>
      </c>
      <c r="B140" s="25">
        <v>3253.83</v>
      </c>
      <c r="C140" s="25">
        <v>3057.54</v>
      </c>
      <c r="D140" s="25">
        <v>2486.1</v>
      </c>
      <c r="E140" s="25">
        <v>2026.84</v>
      </c>
      <c r="F140" s="25">
        <v>2898.91</v>
      </c>
      <c r="G140" s="25">
        <v>3329.3</v>
      </c>
      <c r="H140" s="25">
        <v>3242.63</v>
      </c>
      <c r="I140" s="25">
        <v>3203.7</v>
      </c>
      <c r="J140" s="25">
        <v>2778.2</v>
      </c>
      <c r="K140" s="25">
        <v>3200.22</v>
      </c>
    </row>
    <row r="141" spans="1:11" ht="15" customHeight="1">
      <c r="A141" s="12" t="s">
        <v>213</v>
      </c>
      <c r="B141" s="25">
        <v>5429.44</v>
      </c>
      <c r="C141" s="25">
        <v>5028.88</v>
      </c>
      <c r="D141" s="25">
        <v>4275.83</v>
      </c>
      <c r="E141" s="25">
        <v>4033.62</v>
      </c>
      <c r="F141" s="25">
        <v>4607.1499999999996</v>
      </c>
      <c r="G141" s="25">
        <v>4947.53</v>
      </c>
      <c r="H141" s="25">
        <v>4725.2700000000004</v>
      </c>
      <c r="I141" s="25">
        <v>4536.3100000000004</v>
      </c>
      <c r="J141" s="25">
        <v>4014.28</v>
      </c>
      <c r="K141" s="25">
        <v>5726.64</v>
      </c>
    </row>
    <row r="142" spans="1:11" ht="30.45" customHeight="1">
      <c r="A142" s="12" t="s">
        <v>214</v>
      </c>
      <c r="B142" s="25">
        <v>5515.75</v>
      </c>
      <c r="C142" s="25">
        <v>5099.05</v>
      </c>
      <c r="D142" s="25">
        <v>4346.12</v>
      </c>
      <c r="E142" s="25">
        <v>4096.29</v>
      </c>
      <c r="F142" s="25">
        <v>4687.6000000000004</v>
      </c>
      <c r="G142" s="25">
        <v>5012.5200000000004</v>
      </c>
      <c r="H142" s="25">
        <v>4787.4799999999996</v>
      </c>
      <c r="I142" s="25">
        <v>4605.08</v>
      </c>
      <c r="J142" s="25">
        <v>4096.42</v>
      </c>
      <c r="K142" s="25">
        <v>5949.11</v>
      </c>
    </row>
    <row r="143" spans="1:11" ht="15" customHeight="1">
      <c r="A143" s="10" t="s">
        <v>215</v>
      </c>
      <c r="B143" s="11"/>
      <c r="C143" s="11"/>
      <c r="D143" s="11"/>
      <c r="E143" s="11"/>
      <c r="F143" s="11"/>
      <c r="G143" s="11"/>
      <c r="H143" s="11"/>
      <c r="I143" s="11"/>
      <c r="J143" s="11"/>
      <c r="K143" s="11"/>
    </row>
    <row r="144" spans="1:11" ht="15" customHeight="1">
      <c r="A144" s="12" t="s">
        <v>216</v>
      </c>
      <c r="B144" s="26">
        <v>5.48</v>
      </c>
      <c r="C144" s="26">
        <v>10.79</v>
      </c>
      <c r="D144" s="26">
        <v>16.920000000000002</v>
      </c>
      <c r="E144" s="26">
        <v>17.55</v>
      </c>
      <c r="F144" s="25">
        <v>1708.24</v>
      </c>
      <c r="G144" s="25">
        <v>1618.23</v>
      </c>
      <c r="H144" s="25">
        <v>1482.64</v>
      </c>
      <c r="I144" s="25">
        <v>1332.6</v>
      </c>
      <c r="J144" s="25">
        <v>1236.08</v>
      </c>
      <c r="K144" s="25">
        <v>1818.1</v>
      </c>
    </row>
    <row r="145" spans="1:11" ht="15" customHeight="1">
      <c r="A145" s="16" t="s">
        <v>217</v>
      </c>
      <c r="B145" s="26">
        <v>5.48</v>
      </c>
      <c r="C145" s="26">
        <v>10.79</v>
      </c>
      <c r="D145" s="26">
        <v>16.920000000000002</v>
      </c>
      <c r="E145" s="26">
        <v>17.55</v>
      </c>
      <c r="F145" s="25">
        <v>1708.24</v>
      </c>
      <c r="G145" s="25">
        <v>1618.23</v>
      </c>
      <c r="H145" s="25">
        <v>1472.27</v>
      </c>
      <c r="I145" s="25">
        <v>1332.6</v>
      </c>
      <c r="J145" s="25">
        <v>1236.08</v>
      </c>
      <c r="K145" s="25">
        <v>1639.11</v>
      </c>
    </row>
    <row r="146" spans="1:11" ht="15" customHeight="1">
      <c r="A146" s="17" t="s">
        <v>218</v>
      </c>
      <c r="B146" s="26">
        <v>5.48</v>
      </c>
      <c r="C146" s="26">
        <v>10.79</v>
      </c>
      <c r="D146" s="26">
        <v>16.920000000000002</v>
      </c>
      <c r="E146" s="26">
        <v>17.55</v>
      </c>
      <c r="F146" s="26">
        <v>20.11</v>
      </c>
      <c r="G146" s="26">
        <v>22.55</v>
      </c>
      <c r="H146" s="27"/>
      <c r="I146" s="27"/>
      <c r="J146" s="27"/>
      <c r="K146" s="27"/>
    </row>
    <row r="147" spans="1:11" ht="15" customHeight="1">
      <c r="A147" s="16" t="s">
        <v>219</v>
      </c>
      <c r="B147" s="27"/>
      <c r="C147" s="27"/>
      <c r="D147" s="27"/>
      <c r="E147" s="27"/>
      <c r="F147" s="27"/>
      <c r="G147" s="27"/>
      <c r="H147" s="26">
        <v>10.37</v>
      </c>
      <c r="I147" s="27"/>
      <c r="J147" s="27"/>
      <c r="K147" s="25">
        <v>179</v>
      </c>
    </row>
    <row r="148" spans="1:11" ht="15" customHeight="1">
      <c r="A148" s="17" t="s">
        <v>220</v>
      </c>
      <c r="B148" s="27"/>
      <c r="C148" s="27"/>
      <c r="D148" s="27"/>
      <c r="E148" s="27"/>
      <c r="F148" s="27"/>
      <c r="G148" s="27"/>
      <c r="H148" s="26">
        <v>10.37</v>
      </c>
      <c r="I148" s="27"/>
      <c r="J148" s="27"/>
      <c r="K148" s="25">
        <v>179</v>
      </c>
    </row>
    <row r="149" spans="1:11" ht="15" customHeight="1">
      <c r="A149" s="10" t="s">
        <v>221</v>
      </c>
      <c r="B149" s="11"/>
      <c r="C149" s="11"/>
      <c r="D149" s="11"/>
      <c r="E149" s="11"/>
      <c r="F149" s="11"/>
      <c r="G149" s="11"/>
      <c r="H149" s="11"/>
      <c r="I149" s="11"/>
      <c r="J149" s="11"/>
      <c r="K149" s="11"/>
    </row>
    <row r="150" spans="1:11" ht="15" customHeight="1">
      <c r="A150" s="12" t="s">
        <v>222</v>
      </c>
      <c r="B150" s="25">
        <v>2175.61</v>
      </c>
      <c r="C150" s="25">
        <v>1971.34</v>
      </c>
      <c r="D150" s="25">
        <v>1789.73</v>
      </c>
      <c r="E150" s="25">
        <v>2006.78</v>
      </c>
      <c r="F150" s="25">
        <v>1708.24</v>
      </c>
      <c r="G150" s="25">
        <v>1618.23</v>
      </c>
      <c r="H150" s="25">
        <v>1482.64</v>
      </c>
      <c r="I150" s="25">
        <v>1332.6</v>
      </c>
      <c r="J150" s="25">
        <v>1236.08</v>
      </c>
      <c r="K150" s="25">
        <v>2526.42</v>
      </c>
    </row>
    <row r="151" spans="1:11" ht="15" customHeight="1">
      <c r="A151" s="16" t="s">
        <v>223</v>
      </c>
      <c r="B151" s="25">
        <v>2175.61</v>
      </c>
      <c r="C151" s="25">
        <v>1971.34</v>
      </c>
      <c r="D151" s="25">
        <v>1789.73</v>
      </c>
      <c r="E151" s="25">
        <v>2006.78</v>
      </c>
      <c r="F151" s="25">
        <v>1708.24</v>
      </c>
      <c r="G151" s="25">
        <v>1618.23</v>
      </c>
      <c r="H151" s="25">
        <v>1472.27</v>
      </c>
      <c r="I151" s="25">
        <v>1332.6</v>
      </c>
      <c r="J151" s="25">
        <v>1236.08</v>
      </c>
      <c r="K151" s="25">
        <v>2347.4299999999998</v>
      </c>
    </row>
    <row r="152" spans="1:11" ht="15" customHeight="1">
      <c r="A152" s="16" t="s">
        <v>224</v>
      </c>
      <c r="B152" s="27"/>
      <c r="C152" s="27"/>
      <c r="D152" s="27"/>
      <c r="E152" s="27"/>
      <c r="F152" s="27"/>
      <c r="G152" s="27"/>
      <c r="H152" s="26">
        <v>10.37</v>
      </c>
      <c r="I152" s="27"/>
      <c r="J152" s="27"/>
      <c r="K152" s="25">
        <v>179</v>
      </c>
    </row>
    <row r="153" spans="1:11" ht="15" customHeight="1">
      <c r="A153" s="10" t="s">
        <v>225</v>
      </c>
      <c r="B153" s="11"/>
      <c r="C153" s="11"/>
      <c r="D153" s="11"/>
      <c r="E153" s="11"/>
      <c r="F153" s="11"/>
      <c r="G153" s="11"/>
      <c r="H153" s="11"/>
      <c r="I153" s="11"/>
      <c r="J153" s="11"/>
      <c r="K153" s="11"/>
    </row>
    <row r="154" spans="1:11" ht="15" customHeight="1">
      <c r="A154" s="12" t="s">
        <v>226</v>
      </c>
      <c r="B154" s="27"/>
      <c r="C154" s="27"/>
      <c r="D154" s="27"/>
      <c r="E154" s="27"/>
      <c r="F154" s="27"/>
      <c r="G154" s="27"/>
      <c r="H154" s="27"/>
      <c r="I154" s="27"/>
      <c r="J154" s="27"/>
      <c r="K154" s="27"/>
    </row>
    <row r="155" spans="1:11" ht="15" customHeight="1">
      <c r="A155" s="16" t="s">
        <v>227</v>
      </c>
      <c r="B155" s="25">
        <v>110.97</v>
      </c>
      <c r="C155" s="25">
        <v>103.9</v>
      </c>
      <c r="D155" s="25">
        <v>121.05</v>
      </c>
      <c r="E155" s="25">
        <v>106.54</v>
      </c>
      <c r="F155" s="26">
        <v>54.02</v>
      </c>
      <c r="G155" s="25">
        <v>140.6</v>
      </c>
      <c r="H155" s="25">
        <v>208.66</v>
      </c>
      <c r="I155" s="25">
        <v>140.13999999999999</v>
      </c>
      <c r="J155" s="25">
        <v>157.66</v>
      </c>
      <c r="K155" s="25">
        <v>129.13</v>
      </c>
    </row>
    <row r="156" spans="1:11" ht="15" customHeight="1">
      <c r="A156" s="17" t="s">
        <v>228</v>
      </c>
      <c r="B156" s="25">
        <v>117.82</v>
      </c>
      <c r="C156" s="25">
        <v>111.99</v>
      </c>
      <c r="D156" s="25">
        <v>131.46</v>
      </c>
      <c r="E156" s="25">
        <v>112.81</v>
      </c>
      <c r="F156" s="26">
        <v>68.38</v>
      </c>
      <c r="G156" s="25">
        <v>153.86000000000001</v>
      </c>
      <c r="H156" s="25">
        <v>185.33</v>
      </c>
      <c r="I156" s="25">
        <v>127.16</v>
      </c>
      <c r="J156" s="25">
        <v>139.11000000000001</v>
      </c>
      <c r="K156" s="25">
        <v>113.79</v>
      </c>
    </row>
    <row r="157" spans="1:11" ht="15" customHeight="1">
      <c r="A157" s="17" t="s">
        <v>229</v>
      </c>
      <c r="B157" s="26">
        <v>6.85</v>
      </c>
      <c r="C157" s="26">
        <v>8.1</v>
      </c>
      <c r="D157" s="26">
        <v>10.41</v>
      </c>
      <c r="E157" s="26">
        <v>6.27</v>
      </c>
      <c r="F157" s="26">
        <v>14.36</v>
      </c>
      <c r="G157" s="26">
        <v>13.26</v>
      </c>
      <c r="H157" s="15">
        <v>-23.33</v>
      </c>
      <c r="I157" s="15">
        <v>-12.98</v>
      </c>
      <c r="J157" s="15">
        <v>-18.55</v>
      </c>
      <c r="K157" s="15">
        <v>-15.34</v>
      </c>
    </row>
    <row r="158" spans="1:11" ht="15" customHeight="1">
      <c r="A158" s="10" t="s">
        <v>230</v>
      </c>
      <c r="B158" s="11"/>
      <c r="C158" s="11"/>
      <c r="D158" s="11"/>
      <c r="E158" s="11"/>
      <c r="F158" s="11"/>
      <c r="G158" s="11"/>
      <c r="H158" s="11"/>
      <c r="I158" s="11"/>
      <c r="J158" s="11"/>
      <c r="K158" s="11"/>
    </row>
    <row r="159" spans="1:11" ht="15" customHeight="1">
      <c r="A159" s="12" t="s">
        <v>230</v>
      </c>
      <c r="B159" s="26">
        <v>15.69</v>
      </c>
      <c r="C159" s="26">
        <v>13.91</v>
      </c>
      <c r="D159" s="26">
        <v>11.26</v>
      </c>
      <c r="E159" s="26">
        <v>10.27</v>
      </c>
      <c r="F159" s="26">
        <v>10.87</v>
      </c>
      <c r="G159" s="26">
        <v>9.23</v>
      </c>
      <c r="H159" s="26">
        <v>9.74</v>
      </c>
      <c r="I159" s="26">
        <v>11.68</v>
      </c>
      <c r="J159" s="27"/>
      <c r="K159" s="26">
        <v>9.9600000000000009</v>
      </c>
    </row>
    <row r="160" spans="1:11" ht="15" customHeight="1">
      <c r="A160" s="16" t="s">
        <v>231</v>
      </c>
      <c r="B160" s="26">
        <v>15.47</v>
      </c>
      <c r="C160" s="26">
        <v>13.38</v>
      </c>
      <c r="D160" s="26">
        <v>10.039999999999999</v>
      </c>
      <c r="E160" s="26">
        <v>9.91</v>
      </c>
      <c r="F160" s="26">
        <v>10.57</v>
      </c>
      <c r="G160" s="26">
        <v>9.2200000000000006</v>
      </c>
      <c r="H160" s="26">
        <v>9.73</v>
      </c>
      <c r="I160" s="26">
        <v>11.63</v>
      </c>
      <c r="J160" s="27"/>
      <c r="K160" s="26">
        <v>9.94</v>
      </c>
    </row>
    <row r="161" spans="1:11" ht="15" customHeight="1">
      <c r="A161" s="16" t="s">
        <v>232</v>
      </c>
      <c r="B161" s="26">
        <v>0.15</v>
      </c>
      <c r="C161" s="26">
        <v>0.15</v>
      </c>
      <c r="D161" s="26">
        <v>0.28999999999999998</v>
      </c>
      <c r="E161" s="27"/>
      <c r="F161" s="27"/>
      <c r="G161" s="27"/>
      <c r="H161" s="27"/>
      <c r="I161" s="27"/>
      <c r="J161" s="27"/>
      <c r="K161" s="27"/>
    </row>
    <row r="162" spans="1:11" ht="15" customHeight="1">
      <c r="A162" s="16" t="s">
        <v>233</v>
      </c>
      <c r="B162" s="26">
        <v>7.0000000000000007E-2</v>
      </c>
      <c r="C162" s="26">
        <v>0.38</v>
      </c>
      <c r="D162" s="26">
        <v>0.94</v>
      </c>
      <c r="E162" s="26">
        <v>0.36</v>
      </c>
      <c r="F162" s="26">
        <v>0.3</v>
      </c>
      <c r="G162" s="26">
        <v>0.01</v>
      </c>
      <c r="H162" s="26">
        <v>0.01</v>
      </c>
      <c r="I162" s="26">
        <v>0.05</v>
      </c>
      <c r="J162" s="27"/>
      <c r="K162" s="26">
        <v>0.02</v>
      </c>
    </row>
    <row r="163" spans="1:11" ht="15" customHeight="1">
      <c r="A163" s="10" t="s">
        <v>234</v>
      </c>
      <c r="B163" s="11"/>
      <c r="C163" s="11"/>
      <c r="D163" s="11"/>
      <c r="E163" s="11"/>
      <c r="F163" s="11"/>
      <c r="G163" s="11"/>
      <c r="H163" s="11"/>
      <c r="I163" s="11"/>
      <c r="J163" s="11"/>
      <c r="K163" s="11"/>
    </row>
    <row r="164" spans="1:11" ht="15" customHeight="1">
      <c r="A164" s="12" t="s">
        <v>235</v>
      </c>
      <c r="B164" s="25">
        <v>1690.62</v>
      </c>
      <c r="C164" s="25">
        <v>1768.95</v>
      </c>
      <c r="D164" s="25">
        <v>700.27</v>
      </c>
      <c r="E164" s="25">
        <v>1074.21</v>
      </c>
      <c r="F164" s="25">
        <v>1984.46</v>
      </c>
      <c r="G164" s="25">
        <v>2093.08</v>
      </c>
      <c r="H164" s="25">
        <v>1542.26</v>
      </c>
      <c r="I164" s="25">
        <v>1358.56</v>
      </c>
      <c r="J164" s="25">
        <v>922.09</v>
      </c>
      <c r="K164" s="25">
        <v>1471.62</v>
      </c>
    </row>
    <row r="165" spans="1:11" ht="15" customHeight="1">
      <c r="A165" s="12" t="s">
        <v>236</v>
      </c>
      <c r="B165" s="25">
        <v>1690.62</v>
      </c>
      <c r="C165" s="25">
        <v>1768.95</v>
      </c>
      <c r="D165" s="25">
        <v>700.27</v>
      </c>
      <c r="E165" s="25">
        <v>1074.21</v>
      </c>
      <c r="F165" s="25">
        <v>1984.46</v>
      </c>
      <c r="G165" s="25">
        <v>2093.08</v>
      </c>
      <c r="H165" s="25">
        <v>1542.26</v>
      </c>
      <c r="I165" s="25">
        <v>1358.56</v>
      </c>
      <c r="J165" s="25">
        <v>922.09</v>
      </c>
      <c r="K165" s="25">
        <v>1471.62</v>
      </c>
    </row>
    <row r="166" spans="1:11" ht="15" customHeight="1">
      <c r="A166" s="12" t="s">
        <v>237</v>
      </c>
      <c r="B166" s="25">
        <v>1486.48</v>
      </c>
      <c r="C166" s="25">
        <v>1669.1</v>
      </c>
      <c r="D166" s="25">
        <v>657.32</v>
      </c>
      <c r="E166" s="25">
        <v>1074.21</v>
      </c>
      <c r="F166" s="25">
        <v>1984.46</v>
      </c>
      <c r="G166" s="25">
        <v>2087.7800000000002</v>
      </c>
      <c r="H166" s="25">
        <v>1066.6199999999999</v>
      </c>
      <c r="I166" s="25">
        <v>1358.56</v>
      </c>
      <c r="J166" s="25">
        <v>922.09</v>
      </c>
      <c r="K166" s="25">
        <v>1471.62</v>
      </c>
    </row>
    <row r="167" spans="1:11" ht="15" customHeight="1">
      <c r="A167" s="12" t="s">
        <v>238</v>
      </c>
      <c r="B167" s="25">
        <v>3559.34</v>
      </c>
      <c r="C167" s="25">
        <v>3514.96</v>
      </c>
      <c r="D167" s="25">
        <v>3244.95</v>
      </c>
      <c r="E167" s="25">
        <v>2811.5</v>
      </c>
      <c r="F167" s="25">
        <v>3478.16</v>
      </c>
      <c r="G167" s="25">
        <v>3651.62</v>
      </c>
      <c r="H167" s="25">
        <v>3508.31</v>
      </c>
      <c r="I167" s="25">
        <v>3272.47</v>
      </c>
      <c r="J167" s="25">
        <v>2836.49</v>
      </c>
      <c r="K167" s="25">
        <v>3172.09</v>
      </c>
    </row>
    <row r="168" spans="1:11" ht="15" customHeight="1">
      <c r="A168" s="12" t="s">
        <v>239</v>
      </c>
      <c r="B168" s="25">
        <v>5734.95</v>
      </c>
      <c r="C168" s="25">
        <v>5486.3</v>
      </c>
      <c r="D168" s="25">
        <v>5034.68</v>
      </c>
      <c r="E168" s="25">
        <v>4818.29</v>
      </c>
      <c r="F168" s="25">
        <v>5186.3999999999996</v>
      </c>
      <c r="G168" s="25">
        <v>5269.85</v>
      </c>
      <c r="H168" s="25">
        <v>4990.96</v>
      </c>
      <c r="I168" s="25">
        <v>4605.08</v>
      </c>
      <c r="J168" s="25">
        <v>4072.57</v>
      </c>
      <c r="K168" s="25">
        <v>5698.52</v>
      </c>
    </row>
    <row r="169" spans="1:11" ht="15" customHeight="1">
      <c r="A169" s="10" t="s">
        <v>240</v>
      </c>
      <c r="B169" s="11"/>
      <c r="C169" s="11"/>
      <c r="D169" s="11"/>
      <c r="E169" s="11"/>
      <c r="F169" s="11"/>
      <c r="G169" s="11"/>
      <c r="H169" s="11"/>
      <c r="I169" s="11"/>
      <c r="J169" s="11"/>
      <c r="K169" s="11"/>
    </row>
    <row r="170" spans="1:11" ht="15" customHeight="1">
      <c r="A170" s="12" t="s">
        <v>241</v>
      </c>
      <c r="B170" s="27"/>
      <c r="C170" s="27"/>
      <c r="D170" s="27"/>
      <c r="E170" s="27"/>
      <c r="F170" s="27"/>
      <c r="G170" s="27"/>
      <c r="H170" s="27"/>
      <c r="I170" s="27"/>
      <c r="J170" s="27"/>
      <c r="K170" s="25">
        <v>205.85</v>
      </c>
    </row>
    <row r="171" spans="1:11" ht="15" customHeight="1">
      <c r="A171" s="12" t="s">
        <v>242</v>
      </c>
      <c r="B171" s="27"/>
      <c r="C171" s="27"/>
      <c r="D171" s="27"/>
      <c r="E171" s="27"/>
      <c r="F171" s="27"/>
      <c r="G171" s="27"/>
      <c r="H171" s="27"/>
      <c r="I171" s="27"/>
      <c r="J171" s="27"/>
      <c r="K171" s="20">
        <v>-209.68</v>
      </c>
    </row>
    <row r="172" spans="1:11" ht="15" customHeight="1">
      <c r="A172" s="12" t="s">
        <v>243</v>
      </c>
      <c r="B172" s="27"/>
      <c r="C172" s="27"/>
      <c r="D172" s="27"/>
      <c r="E172" s="27"/>
      <c r="F172" s="27"/>
      <c r="G172" s="15">
        <v>-2.65</v>
      </c>
      <c r="H172" s="15">
        <v>-9.07</v>
      </c>
      <c r="I172" s="15">
        <v>-10.38</v>
      </c>
      <c r="J172" s="27"/>
      <c r="K172" s="27"/>
    </row>
    <row r="173" spans="1:11" ht="15" customHeight="1">
      <c r="A173" s="12" t="s">
        <v>244</v>
      </c>
      <c r="B173" s="27"/>
      <c r="C173" s="27"/>
      <c r="D173" s="27"/>
      <c r="E173" s="27"/>
      <c r="F173" s="27"/>
      <c r="G173" s="27"/>
      <c r="H173" s="15">
        <v>-1.3</v>
      </c>
      <c r="I173" s="15">
        <v>-2.6</v>
      </c>
      <c r="J173" s="27"/>
      <c r="K173" s="15">
        <v>-62.65</v>
      </c>
    </row>
    <row r="174" spans="1:11" ht="15" customHeight="1">
      <c r="A174" s="10" t="s">
        <v>245</v>
      </c>
      <c r="B174" s="11"/>
      <c r="C174" s="11"/>
      <c r="D174" s="11"/>
      <c r="E174" s="11"/>
      <c r="F174" s="11"/>
      <c r="G174" s="11"/>
      <c r="H174" s="11"/>
      <c r="I174" s="11"/>
      <c r="J174" s="11"/>
      <c r="K174" s="11"/>
    </row>
    <row r="175" spans="1:11" ht="15" customHeight="1">
      <c r="A175" s="12" t="s">
        <v>246</v>
      </c>
      <c r="B175" s="27"/>
      <c r="C175" s="27"/>
      <c r="D175" s="27"/>
      <c r="E175" s="27"/>
      <c r="F175" s="27"/>
      <c r="G175" s="27"/>
      <c r="H175" s="27"/>
      <c r="I175" s="27"/>
      <c r="J175" s="27"/>
      <c r="K175" s="26">
        <v>93.33</v>
      </c>
    </row>
    <row r="176" spans="1:11" ht="15" customHeight="1">
      <c r="A176" s="16" t="s">
        <v>247</v>
      </c>
      <c r="B176" s="27"/>
      <c r="C176" s="27"/>
      <c r="D176" s="27"/>
      <c r="E176" s="27"/>
      <c r="F176" s="27"/>
      <c r="G176" s="27"/>
      <c r="H176" s="27"/>
      <c r="I176" s="27"/>
      <c r="J176" s="27"/>
      <c r="K176" s="26">
        <v>93.33</v>
      </c>
    </row>
    <row r="177" spans="1:11" ht="15" customHeight="1">
      <c r="A177" s="10" t="s">
        <v>248</v>
      </c>
      <c r="B177" s="11"/>
      <c r="C177" s="11"/>
      <c r="D177" s="11"/>
      <c r="E177" s="11"/>
      <c r="F177" s="11"/>
      <c r="G177" s="11"/>
      <c r="H177" s="11"/>
      <c r="I177" s="11"/>
      <c r="J177" s="11"/>
      <c r="K177" s="11"/>
    </row>
    <row r="178" spans="1:11" ht="15" customHeight="1">
      <c r="A178" s="12" t="s">
        <v>249</v>
      </c>
      <c r="B178" s="25">
        <v>132.88999999999999</v>
      </c>
      <c r="C178" s="25">
        <v>124.14</v>
      </c>
      <c r="D178" s="25">
        <v>115.84</v>
      </c>
      <c r="E178" s="25">
        <v>111.56</v>
      </c>
      <c r="F178" s="27"/>
      <c r="G178" s="27"/>
      <c r="H178" s="27"/>
      <c r="I178" s="27"/>
      <c r="J178" s="27"/>
      <c r="K178" s="27"/>
    </row>
    <row r="179" spans="1:11" ht="15" customHeight="1">
      <c r="A179" s="16" t="s">
        <v>250</v>
      </c>
      <c r="B179" s="26">
        <v>86.31</v>
      </c>
      <c r="C179" s="26">
        <v>70.16</v>
      </c>
      <c r="D179" s="26">
        <v>70.290000000000006</v>
      </c>
      <c r="E179" s="26">
        <v>62.67</v>
      </c>
      <c r="F179" s="27"/>
      <c r="G179" s="27"/>
      <c r="H179" s="27"/>
      <c r="I179" s="27"/>
      <c r="J179" s="27"/>
      <c r="K179" s="27"/>
    </row>
    <row r="180" spans="1:11" ht="15" customHeight="1">
      <c r="A180" s="16" t="s">
        <v>251</v>
      </c>
      <c r="B180" s="26">
        <v>5.48</v>
      </c>
      <c r="C180" s="26">
        <v>10.79</v>
      </c>
      <c r="D180" s="26">
        <v>16.920000000000002</v>
      </c>
      <c r="E180" s="26">
        <v>17.55</v>
      </c>
      <c r="F180" s="27"/>
      <c r="G180" s="27"/>
      <c r="H180" s="27"/>
      <c r="I180" s="27"/>
      <c r="J180" s="27"/>
      <c r="K180" s="27"/>
    </row>
    <row r="181" spans="1:11" ht="15" customHeight="1">
      <c r="A181" s="16" t="s">
        <v>252</v>
      </c>
      <c r="B181" s="26">
        <v>2.74</v>
      </c>
      <c r="C181" s="26">
        <v>6.75</v>
      </c>
      <c r="D181" s="26">
        <v>3.9</v>
      </c>
      <c r="E181" s="26">
        <v>5.01</v>
      </c>
      <c r="F181" s="26">
        <v>6.7</v>
      </c>
      <c r="G181" s="26">
        <v>7.96</v>
      </c>
      <c r="H181" s="27"/>
      <c r="I181" s="27"/>
      <c r="J181" s="27"/>
      <c r="K181" s="27"/>
    </row>
    <row r="182" spans="1:11" ht="15" customHeight="1">
      <c r="A182" s="16" t="s">
        <v>253</v>
      </c>
      <c r="B182" s="26">
        <v>47.95</v>
      </c>
      <c r="C182" s="26">
        <v>36.43</v>
      </c>
      <c r="D182" s="26">
        <v>24.73</v>
      </c>
      <c r="E182" s="26">
        <v>26.32</v>
      </c>
      <c r="F182" s="27"/>
      <c r="G182" s="27"/>
      <c r="H182" s="27"/>
      <c r="I182" s="27"/>
      <c r="J182" s="27"/>
      <c r="K182" s="27"/>
    </row>
    <row r="183" spans="1:11" ht="15" customHeight="1">
      <c r="A183" s="16" t="s">
        <v>254</v>
      </c>
      <c r="B183" s="26">
        <v>9.59</v>
      </c>
      <c r="C183" s="27"/>
      <c r="D183" s="27"/>
      <c r="E183" s="27"/>
      <c r="F183" s="27"/>
      <c r="G183" s="27"/>
      <c r="H183" s="27"/>
      <c r="I183" s="27"/>
      <c r="J183" s="27"/>
      <c r="K183" s="27"/>
    </row>
    <row r="184" spans="1:11" ht="15" customHeight="1">
      <c r="A184" s="10" t="s">
        <v>255</v>
      </c>
      <c r="B184" s="11"/>
      <c r="C184" s="11"/>
      <c r="D184" s="11"/>
      <c r="E184" s="11"/>
      <c r="F184" s="11"/>
      <c r="G184" s="11"/>
      <c r="H184" s="11"/>
      <c r="I184" s="11"/>
      <c r="J184" s="11"/>
      <c r="K184" s="11"/>
    </row>
    <row r="185" spans="1:11" ht="15" customHeight="1">
      <c r="A185" s="12" t="s">
        <v>256</v>
      </c>
      <c r="B185" s="26">
        <v>86.31</v>
      </c>
      <c r="C185" s="26">
        <v>70.16</v>
      </c>
      <c r="D185" s="26">
        <v>70.290000000000006</v>
      </c>
      <c r="E185" s="26">
        <v>62.67</v>
      </c>
      <c r="F185" s="26">
        <v>80.45</v>
      </c>
      <c r="G185" s="26">
        <v>64.989999999999995</v>
      </c>
      <c r="H185" s="26">
        <v>62.21</v>
      </c>
      <c r="I185" s="26">
        <v>68.77</v>
      </c>
      <c r="J185" s="26">
        <v>82.14</v>
      </c>
      <c r="K185" s="25">
        <v>222.47</v>
      </c>
    </row>
    <row r="186" spans="1:11" ht="15" customHeight="1">
      <c r="A186" s="12" t="s">
        <v>257</v>
      </c>
      <c r="B186" s="25">
        <v>8161.28</v>
      </c>
      <c r="C186" s="25">
        <v>8240.24</v>
      </c>
      <c r="D186" s="25">
        <v>7768.09</v>
      </c>
      <c r="E186" s="25">
        <v>5950.16</v>
      </c>
      <c r="F186" s="25">
        <v>5824.64</v>
      </c>
      <c r="G186" s="25">
        <v>6159.87</v>
      </c>
      <c r="H186" s="25">
        <v>6198.84</v>
      </c>
      <c r="I186" s="25">
        <v>5774.19</v>
      </c>
      <c r="J186" s="25">
        <v>6377.8</v>
      </c>
      <c r="K186" s="25">
        <v>9531.6200000000008</v>
      </c>
    </row>
    <row r="187" spans="1:11" ht="15" customHeight="1">
      <c r="A187" s="12" t="s">
        <v>258</v>
      </c>
      <c r="B187" s="25">
        <v>5995.26</v>
      </c>
      <c r="C187" s="25">
        <v>6268.9</v>
      </c>
      <c r="D187" s="25">
        <v>5978.36</v>
      </c>
      <c r="E187" s="25">
        <v>4318.16</v>
      </c>
      <c r="F187" s="25">
        <v>4116.3999999999996</v>
      </c>
      <c r="G187" s="25">
        <v>4541.6499999999996</v>
      </c>
      <c r="H187" s="25">
        <v>4726.57</v>
      </c>
      <c r="I187" s="25">
        <v>4441.58</v>
      </c>
      <c r="J187" s="25">
        <v>5141.72</v>
      </c>
      <c r="K187" s="25">
        <v>7892.51</v>
      </c>
    </row>
    <row r="188" spans="1:11" ht="15" customHeight="1">
      <c r="A188" s="12" t="s">
        <v>259</v>
      </c>
      <c r="B188" s="25">
        <v>2801.72</v>
      </c>
      <c r="C188" s="25">
        <v>2697.27</v>
      </c>
      <c r="D188" s="25">
        <v>2739.92</v>
      </c>
      <c r="E188" s="25">
        <v>2234.91</v>
      </c>
      <c r="F188" s="25">
        <v>2203.0100000000002</v>
      </c>
      <c r="G188" s="25">
        <v>2277.4499999999998</v>
      </c>
      <c r="H188" s="25">
        <v>2169.5300000000002</v>
      </c>
      <c r="I188" s="25">
        <v>1977.5</v>
      </c>
      <c r="J188" s="25">
        <v>1992.56</v>
      </c>
      <c r="K188" s="25">
        <v>4010.82</v>
      </c>
    </row>
    <row r="189" spans="1:11" ht="15" customHeight="1">
      <c r="A189" s="12" t="s">
        <v>260</v>
      </c>
      <c r="B189" s="25">
        <v>1385.1</v>
      </c>
      <c r="C189" s="25">
        <v>1385.74</v>
      </c>
      <c r="D189" s="25">
        <v>1243.05</v>
      </c>
      <c r="E189" s="25">
        <v>1336.18</v>
      </c>
      <c r="F189" s="25">
        <v>1324.76</v>
      </c>
      <c r="G189" s="25">
        <v>1276.01</v>
      </c>
      <c r="H189" s="25">
        <v>1362.11</v>
      </c>
      <c r="I189" s="25">
        <v>1236.58</v>
      </c>
      <c r="J189" s="25">
        <v>1216.21</v>
      </c>
      <c r="K189" s="25">
        <v>1297.73</v>
      </c>
    </row>
    <row r="190" spans="1:11" ht="15" customHeight="1">
      <c r="A190" s="12" t="s">
        <v>100</v>
      </c>
      <c r="B190" s="27">
        <v>15203.24</v>
      </c>
      <c r="C190" s="27">
        <v>14308.1</v>
      </c>
      <c r="D190" s="27">
        <v>13730.83</v>
      </c>
      <c r="E190" s="27">
        <v>11926.64</v>
      </c>
      <c r="F190" s="27">
        <v>11568.84</v>
      </c>
      <c r="G190" s="27">
        <v>11307.69</v>
      </c>
      <c r="H190" s="27">
        <v>11351.8</v>
      </c>
      <c r="I190" s="27">
        <v>10976.15</v>
      </c>
      <c r="J190" s="27">
        <v>11397.63</v>
      </c>
      <c r="K190" s="27">
        <v>16011.33</v>
      </c>
    </row>
    <row r="191" spans="1:11" ht="15" customHeight="1">
      <c r="A191" s="12" t="s">
        <v>261</v>
      </c>
      <c r="B191" s="25">
        <v>1660.48</v>
      </c>
      <c r="C191" s="25">
        <v>1570.6</v>
      </c>
      <c r="D191" s="25">
        <v>1469.53</v>
      </c>
      <c r="E191" s="25">
        <v>1344.96</v>
      </c>
      <c r="F191" s="25">
        <v>1482.98</v>
      </c>
      <c r="G191" s="25">
        <v>1402.02</v>
      </c>
      <c r="H191" s="25">
        <v>1286.94</v>
      </c>
      <c r="I191" s="25">
        <v>1219.72</v>
      </c>
      <c r="J191" s="25">
        <v>1209.58</v>
      </c>
      <c r="K191" s="25">
        <v>1250.43</v>
      </c>
    </row>
  </sheetData>
  <mergeCells count="70"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B17"/>
    <mergeCell ref="C12"/>
    <mergeCell ref="C13"/>
    <mergeCell ref="C14"/>
    <mergeCell ref="C15"/>
    <mergeCell ref="C16"/>
    <mergeCell ref="C17"/>
    <mergeCell ref="B12"/>
    <mergeCell ref="B13"/>
    <mergeCell ref="B14"/>
    <mergeCell ref="B15"/>
    <mergeCell ref="B16"/>
    <mergeCell ref="D17"/>
    <mergeCell ref="E12"/>
    <mergeCell ref="E13"/>
    <mergeCell ref="E14"/>
    <mergeCell ref="E15"/>
    <mergeCell ref="E16"/>
    <mergeCell ref="E17"/>
    <mergeCell ref="D12"/>
    <mergeCell ref="D13"/>
    <mergeCell ref="D14"/>
    <mergeCell ref="D15"/>
    <mergeCell ref="D16"/>
    <mergeCell ref="F17"/>
    <mergeCell ref="G12"/>
    <mergeCell ref="G13"/>
    <mergeCell ref="G14"/>
    <mergeCell ref="G15"/>
    <mergeCell ref="G16"/>
    <mergeCell ref="G17"/>
    <mergeCell ref="F12"/>
    <mergeCell ref="F13"/>
    <mergeCell ref="F14"/>
    <mergeCell ref="F15"/>
    <mergeCell ref="F16"/>
    <mergeCell ref="H17"/>
    <mergeCell ref="I12"/>
    <mergeCell ref="I13"/>
    <mergeCell ref="I14"/>
    <mergeCell ref="I15"/>
    <mergeCell ref="I16"/>
    <mergeCell ref="I17"/>
    <mergeCell ref="H12"/>
    <mergeCell ref="H13"/>
    <mergeCell ref="H14"/>
    <mergeCell ref="H15"/>
    <mergeCell ref="H16"/>
    <mergeCell ref="J17"/>
    <mergeCell ref="K12"/>
    <mergeCell ref="K13"/>
    <mergeCell ref="K14"/>
    <mergeCell ref="K15"/>
    <mergeCell ref="K16"/>
    <mergeCell ref="K17"/>
    <mergeCell ref="J12"/>
    <mergeCell ref="J13"/>
    <mergeCell ref="J14"/>
    <mergeCell ref="J15"/>
    <mergeCell ref="J16"/>
  </mergeCells>
  <phoneticPr fontId="8" type="noConversion"/>
  <pageMargins left="0.5" right="0.5" top="1" bottom="1" header="0.5" footer="0.7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88"/>
  <sheetViews>
    <sheetView zoomScale="55" zoomScaleNormal="55" workbookViewId="0">
      <selection activeCell="B80" sqref="B80"/>
    </sheetView>
  </sheetViews>
  <sheetFormatPr defaultColWidth="8.77734375" defaultRowHeight="14.4" outlineLevelRow="1"/>
  <cols>
    <col min="1" max="1" width="85.6640625" customWidth="1"/>
    <col min="2" max="11" width="15.6640625" customWidth="1"/>
  </cols>
  <sheetData>
    <row r="1" spans="1:11" ht="15" customHeight="1">
      <c r="A1" s="1" t="s">
        <v>262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5" customHeight="1">
      <c r="A2" s="3" t="s">
        <v>0</v>
      </c>
      <c r="B2" s="4" t="s">
        <v>1</v>
      </c>
    </row>
    <row r="3" spans="1:11">
      <c r="A3" s="3" t="s">
        <v>2</v>
      </c>
      <c r="B3" s="3" t="s">
        <v>3</v>
      </c>
    </row>
    <row r="4" spans="1:11">
      <c r="A4" s="3" t="s">
        <v>4</v>
      </c>
      <c r="B4" s="3" t="s">
        <v>3</v>
      </c>
    </row>
    <row r="5" spans="1:11">
      <c r="A5" s="3" t="s">
        <v>5</v>
      </c>
      <c r="B5" s="3" t="s">
        <v>6</v>
      </c>
    </row>
    <row r="6" spans="1:11">
      <c r="A6" s="3" t="s">
        <v>7</v>
      </c>
      <c r="B6" s="3" t="s">
        <v>8</v>
      </c>
    </row>
    <row r="7" spans="1:11">
      <c r="A7" s="3" t="s">
        <v>9</v>
      </c>
      <c r="B7" s="3" t="s">
        <v>10</v>
      </c>
    </row>
    <row r="8" spans="1:11">
      <c r="A8" s="3" t="s">
        <v>11</v>
      </c>
      <c r="B8" s="3" t="s">
        <v>12</v>
      </c>
    </row>
    <row r="9" spans="1:11">
      <c r="A9" s="3" t="s">
        <v>13</v>
      </c>
      <c r="B9" s="3" t="s">
        <v>14</v>
      </c>
    </row>
    <row r="10" spans="1:11">
      <c r="A10" s="3" t="s">
        <v>15</v>
      </c>
      <c r="B10" s="5">
        <v>45975.877708958302</v>
      </c>
    </row>
    <row r="11" spans="1:11">
      <c r="A11" s="6" t="s">
        <v>16</v>
      </c>
      <c r="B11" s="211" t="s">
        <v>17</v>
      </c>
      <c r="C11" s="211" t="s">
        <v>18</v>
      </c>
      <c r="D11" s="211" t="s">
        <v>19</v>
      </c>
      <c r="E11" s="211" t="s">
        <v>20</v>
      </c>
      <c r="F11" s="211" t="s">
        <v>21</v>
      </c>
      <c r="G11" s="211" t="s">
        <v>22</v>
      </c>
      <c r="H11" s="211" t="s">
        <v>23</v>
      </c>
      <c r="I11" s="211" t="s">
        <v>24</v>
      </c>
      <c r="J11" s="211" t="s">
        <v>25</v>
      </c>
      <c r="K11" s="211" t="s">
        <v>26</v>
      </c>
    </row>
    <row r="12" spans="1:11" ht="15" customHeight="1" outlineLevel="1">
      <c r="A12" s="7" t="s">
        <v>27</v>
      </c>
      <c r="B12" s="209">
        <v>45657</v>
      </c>
      <c r="C12" s="209">
        <v>45291</v>
      </c>
      <c r="D12" s="209">
        <v>44926</v>
      </c>
      <c r="E12" s="209">
        <v>44561</v>
      </c>
      <c r="F12" s="209">
        <v>44196</v>
      </c>
      <c r="G12" s="209">
        <v>43830</v>
      </c>
      <c r="H12" s="209">
        <v>43465</v>
      </c>
      <c r="I12" s="209">
        <v>43100</v>
      </c>
      <c r="J12" s="209">
        <v>42735</v>
      </c>
      <c r="K12" s="209">
        <v>42369</v>
      </c>
    </row>
    <row r="13" spans="1:11" ht="15" customHeight="1" outlineLevel="1">
      <c r="A13" s="7" t="s">
        <v>28</v>
      </c>
      <c r="B13" s="209">
        <v>45656</v>
      </c>
      <c r="C13" s="209">
        <v>45290</v>
      </c>
      <c r="D13" s="209">
        <v>44925</v>
      </c>
      <c r="E13" s="209">
        <v>44560</v>
      </c>
      <c r="F13" s="209">
        <v>44195</v>
      </c>
      <c r="G13" s="209">
        <v>43829</v>
      </c>
      <c r="H13" s="209">
        <v>43464</v>
      </c>
      <c r="I13" s="209">
        <v>43464</v>
      </c>
      <c r="J13" s="209">
        <v>43464</v>
      </c>
      <c r="K13" s="209">
        <v>43099</v>
      </c>
    </row>
    <row r="14" spans="1:11" ht="15" customHeight="1" outlineLevel="1">
      <c r="A14" s="7" t="s">
        <v>29</v>
      </c>
      <c r="B14" s="210" t="s">
        <v>30</v>
      </c>
      <c r="C14" s="210" t="s">
        <v>30</v>
      </c>
      <c r="D14" s="210" t="s">
        <v>30</v>
      </c>
      <c r="E14" s="210" t="s">
        <v>30</v>
      </c>
      <c r="F14" s="210" t="s">
        <v>30</v>
      </c>
      <c r="G14" s="210" t="s">
        <v>30</v>
      </c>
      <c r="H14" s="210" t="s">
        <v>30</v>
      </c>
      <c r="I14" s="210" t="s">
        <v>30</v>
      </c>
      <c r="J14" s="210" t="s">
        <v>30</v>
      </c>
      <c r="K14" s="210" t="s">
        <v>30</v>
      </c>
    </row>
    <row r="15" spans="1:11" ht="15" customHeight="1" outlineLevel="1">
      <c r="A15" s="7" t="s">
        <v>31</v>
      </c>
      <c r="B15" s="210" t="s">
        <v>263</v>
      </c>
      <c r="C15" s="210" t="s">
        <v>263</v>
      </c>
      <c r="D15" s="210" t="s">
        <v>263</v>
      </c>
      <c r="E15" s="210" t="s">
        <v>263</v>
      </c>
      <c r="F15" s="210" t="s">
        <v>263</v>
      </c>
      <c r="G15" s="210" t="s">
        <v>263</v>
      </c>
      <c r="H15" s="210" t="s">
        <v>263</v>
      </c>
      <c r="I15" s="210" t="s">
        <v>263</v>
      </c>
      <c r="J15" s="210" t="s">
        <v>263</v>
      </c>
      <c r="K15" s="210" t="s">
        <v>263</v>
      </c>
    </row>
    <row r="16" spans="1:11" ht="15" customHeight="1" outlineLevel="1">
      <c r="A16" s="7" t="s">
        <v>33</v>
      </c>
      <c r="B16" s="208">
        <v>1.4379999999999999</v>
      </c>
      <c r="C16" s="208">
        <v>1.3245</v>
      </c>
      <c r="D16" s="208">
        <v>1.3549</v>
      </c>
      <c r="E16" s="208">
        <v>1.2634000000000001</v>
      </c>
      <c r="F16" s="208">
        <v>1.2729999999999999</v>
      </c>
      <c r="G16" s="208">
        <v>1.2986</v>
      </c>
      <c r="H16" s="208">
        <v>1.3636999999999999</v>
      </c>
      <c r="I16" s="208">
        <v>1.2577</v>
      </c>
      <c r="J16" s="208">
        <v>1.343</v>
      </c>
      <c r="K16" s="208">
        <v>1.3838999999999999</v>
      </c>
    </row>
    <row r="17" spans="1:11" ht="15" customHeight="1" outlineLevel="1">
      <c r="A17" s="7" t="s">
        <v>34</v>
      </c>
      <c r="B17" s="208">
        <v>1.37003196721311</v>
      </c>
      <c r="C17" s="208">
        <v>1.3493112328767101</v>
      </c>
      <c r="D17" s="208">
        <v>1.3016235616438401</v>
      </c>
      <c r="E17" s="208">
        <v>1.25345616438356</v>
      </c>
      <c r="F17" s="208">
        <v>1.3408480874316899</v>
      </c>
      <c r="G17" s="208">
        <v>1.3264150684931499</v>
      </c>
      <c r="H17" s="208">
        <v>1.2960156164383601</v>
      </c>
      <c r="I17" s="208">
        <v>1.2975704109588999</v>
      </c>
      <c r="J17" s="208">
        <v>1.3248434426229501</v>
      </c>
      <c r="K17" s="208">
        <v>1.27855397260274</v>
      </c>
    </row>
    <row r="19" spans="1:11">
      <c r="A19" s="8" t="s">
        <v>264</v>
      </c>
      <c r="B19" s="6"/>
      <c r="C19" s="6"/>
      <c r="D19" s="6"/>
      <c r="E19" s="6"/>
      <c r="F19" s="6"/>
      <c r="G19" s="6"/>
      <c r="H19" s="6"/>
      <c r="I19" s="6"/>
      <c r="J19" s="6"/>
      <c r="K19" s="6"/>
    </row>
    <row r="20" spans="1:11">
      <c r="A20" s="8" t="s">
        <v>36</v>
      </c>
      <c r="B20" s="9" t="s">
        <v>37</v>
      </c>
      <c r="C20" s="9" t="s">
        <v>38</v>
      </c>
      <c r="D20" s="9" t="s">
        <v>39</v>
      </c>
      <c r="E20" s="9" t="s">
        <v>40</v>
      </c>
      <c r="F20" s="9" t="s">
        <v>41</v>
      </c>
      <c r="G20" s="9" t="s">
        <v>42</v>
      </c>
      <c r="H20" s="9" t="s">
        <v>43</v>
      </c>
      <c r="I20" s="9" t="s">
        <v>44</v>
      </c>
      <c r="J20" s="9" t="s">
        <v>45</v>
      </c>
      <c r="K20" s="9" t="s">
        <v>46</v>
      </c>
    </row>
    <row r="21" spans="1:11" ht="15" customHeight="1">
      <c r="A21" s="10" t="s">
        <v>265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1:11" ht="15" customHeight="1">
      <c r="A22" s="12" t="s">
        <v>266</v>
      </c>
      <c r="B22" s="25">
        <v>1544.03</v>
      </c>
      <c r="C22" s="25">
        <v>1586.79</v>
      </c>
      <c r="D22" s="25">
        <v>571.41</v>
      </c>
      <c r="E22" s="25">
        <v>1608.18</v>
      </c>
      <c r="F22" s="25">
        <v>1446.78</v>
      </c>
      <c r="G22" s="25">
        <v>1209.69</v>
      </c>
      <c r="H22" s="25">
        <v>1747.03</v>
      </c>
      <c r="I22" s="20">
        <v>-2237.0100000000002</v>
      </c>
      <c r="J22" s="20">
        <v>-8183.56</v>
      </c>
      <c r="K22" s="25">
        <v>739</v>
      </c>
    </row>
    <row r="23" spans="1:11" ht="15" customHeight="1">
      <c r="A23" s="12" t="s">
        <v>267</v>
      </c>
      <c r="B23" s="25">
        <v>2957.9</v>
      </c>
      <c r="C23" s="25">
        <v>817.68</v>
      </c>
      <c r="D23" s="25">
        <v>2655.31</v>
      </c>
      <c r="E23" s="25">
        <v>1491.61</v>
      </c>
      <c r="F23" s="25">
        <v>488.07</v>
      </c>
      <c r="G23" s="25">
        <v>1887.49</v>
      </c>
      <c r="H23" s="25">
        <v>451.01</v>
      </c>
      <c r="I23" s="25">
        <v>7089.92</v>
      </c>
      <c r="J23" s="27">
        <v>12599.26</v>
      </c>
      <c r="K23" s="25">
        <v>3481.5</v>
      </c>
    </row>
    <row r="24" spans="1:11" ht="15" customHeight="1">
      <c r="A24" s="16" t="s">
        <v>268</v>
      </c>
      <c r="B24" s="27"/>
      <c r="C24" s="26">
        <v>28.34</v>
      </c>
      <c r="D24" s="27"/>
      <c r="E24" s="15">
        <v>-58.91</v>
      </c>
      <c r="F24" s="20">
        <v>-101.9</v>
      </c>
      <c r="G24" s="15">
        <v>-78.260000000000005</v>
      </c>
      <c r="H24" s="20">
        <v>-563.77</v>
      </c>
      <c r="I24" s="27"/>
      <c r="J24" s="27"/>
      <c r="K24" s="27"/>
    </row>
    <row r="25" spans="1:11" ht="15" customHeight="1">
      <c r="A25" s="16" t="s">
        <v>269</v>
      </c>
      <c r="B25" s="25">
        <v>349.36</v>
      </c>
      <c r="C25" s="20">
        <v>-1277.8</v>
      </c>
      <c r="D25" s="20">
        <v>-346.23</v>
      </c>
      <c r="E25" s="20">
        <v>-691.91</v>
      </c>
      <c r="F25" s="20">
        <v>-1169.22</v>
      </c>
      <c r="G25" s="26">
        <v>17.239999999999998</v>
      </c>
      <c r="H25" s="20">
        <v>-1389.33</v>
      </c>
      <c r="I25" s="25">
        <v>659.17</v>
      </c>
      <c r="J25" s="15">
        <v>-33.119999999999997</v>
      </c>
      <c r="K25" s="25">
        <v>852.8</v>
      </c>
    </row>
    <row r="26" spans="1:11" ht="15" customHeight="1">
      <c r="A26" s="16" t="s">
        <v>270</v>
      </c>
      <c r="B26" s="25">
        <v>2175.61</v>
      </c>
      <c r="C26" s="25">
        <v>1727.12</v>
      </c>
      <c r="D26" s="25">
        <v>1714.24</v>
      </c>
      <c r="E26" s="25">
        <v>2006.78</v>
      </c>
      <c r="F26" s="25">
        <v>1607.68</v>
      </c>
      <c r="G26" s="25">
        <v>1614.25</v>
      </c>
      <c r="H26" s="25">
        <v>1793.69</v>
      </c>
      <c r="I26" s="25">
        <v>5318.74</v>
      </c>
      <c r="J26" s="27">
        <v>16744.7</v>
      </c>
      <c r="K26" s="25">
        <v>2388.34</v>
      </c>
    </row>
    <row r="27" spans="1:11" ht="15" customHeight="1">
      <c r="A27" s="17" t="s">
        <v>271</v>
      </c>
      <c r="B27" s="25">
        <v>274.01</v>
      </c>
      <c r="C27" s="27"/>
      <c r="D27" s="27"/>
      <c r="E27" s="27"/>
      <c r="F27" s="27"/>
      <c r="G27" s="27"/>
      <c r="H27" s="27"/>
      <c r="I27" s="27"/>
      <c r="J27" s="27"/>
      <c r="K27" s="27"/>
    </row>
    <row r="28" spans="1:11" ht="15" customHeight="1">
      <c r="A28" s="17" t="s">
        <v>272</v>
      </c>
      <c r="B28" s="25">
        <v>2175.61</v>
      </c>
      <c r="C28" s="25">
        <v>1727.12</v>
      </c>
      <c r="D28" s="25">
        <v>1714.24</v>
      </c>
      <c r="E28" s="25">
        <v>2006.78</v>
      </c>
      <c r="F28" s="25">
        <v>1607.68</v>
      </c>
      <c r="G28" s="25">
        <v>1614.25</v>
      </c>
      <c r="H28" s="25">
        <v>1793.69</v>
      </c>
      <c r="I28" s="25">
        <v>2205.87</v>
      </c>
      <c r="J28" s="25">
        <v>2615.2399999999998</v>
      </c>
      <c r="K28" s="25">
        <v>2334.64</v>
      </c>
    </row>
    <row r="29" spans="1:11" ht="15" customHeight="1">
      <c r="A29" s="17" t="s">
        <v>273</v>
      </c>
      <c r="B29" s="27"/>
      <c r="C29" s="27"/>
      <c r="D29" s="27"/>
      <c r="E29" s="27"/>
      <c r="F29" s="27"/>
      <c r="G29" s="27"/>
      <c r="H29" s="27"/>
      <c r="I29" s="25">
        <v>3112.87</v>
      </c>
      <c r="J29" s="27">
        <v>14129.46</v>
      </c>
      <c r="K29" s="26">
        <v>53.7</v>
      </c>
    </row>
    <row r="30" spans="1:11" ht="15" customHeight="1">
      <c r="A30" s="16" t="s">
        <v>274</v>
      </c>
      <c r="B30" s="25">
        <v>432.93</v>
      </c>
      <c r="C30" s="25">
        <v>340.03</v>
      </c>
      <c r="D30" s="25">
        <v>1287.31</v>
      </c>
      <c r="E30" s="25">
        <v>372.28</v>
      </c>
      <c r="F30" s="25">
        <v>151.52000000000001</v>
      </c>
      <c r="G30" s="25">
        <v>334.26</v>
      </c>
      <c r="H30" s="25">
        <v>628.57000000000005</v>
      </c>
      <c r="I30" s="25">
        <v>1088.6600000000001</v>
      </c>
      <c r="J30" s="20">
        <v>-4058</v>
      </c>
      <c r="K30" s="25">
        <v>363.11</v>
      </c>
    </row>
    <row r="31" spans="1:11" ht="15" customHeight="1">
      <c r="A31" s="16" t="s">
        <v>275</v>
      </c>
      <c r="B31" s="27"/>
      <c r="C31" s="27"/>
      <c r="D31" s="27"/>
      <c r="E31" s="20">
        <v>-136.63</v>
      </c>
      <c r="F31" s="27"/>
      <c r="G31" s="27"/>
      <c r="H31" s="15">
        <v>-11.66</v>
      </c>
      <c r="I31" s="15">
        <v>-81.75</v>
      </c>
      <c r="J31" s="15">
        <v>-66.239999999999995</v>
      </c>
      <c r="K31" s="15">
        <v>-29.41</v>
      </c>
    </row>
    <row r="32" spans="1:11" ht="15" customHeight="1">
      <c r="A32" s="16" t="s">
        <v>276</v>
      </c>
      <c r="B32" s="27"/>
      <c r="C32" s="27"/>
      <c r="D32" s="27"/>
      <c r="E32" s="27"/>
      <c r="F32" s="27"/>
      <c r="G32" s="27"/>
      <c r="H32" s="15">
        <v>-6.48</v>
      </c>
      <c r="I32" s="25">
        <v>105.1</v>
      </c>
      <c r="J32" s="26">
        <v>11.92</v>
      </c>
      <c r="K32" s="15">
        <v>-93.33</v>
      </c>
    </row>
    <row r="33" spans="1:11" ht="15" customHeight="1">
      <c r="A33" s="12" t="s">
        <v>277</v>
      </c>
      <c r="B33" s="25">
        <v>4501.93</v>
      </c>
      <c r="C33" s="25">
        <v>2404.4699999999998</v>
      </c>
      <c r="D33" s="25">
        <v>3226.72</v>
      </c>
      <c r="E33" s="25">
        <v>3099.8</v>
      </c>
      <c r="F33" s="25">
        <v>1934.84</v>
      </c>
      <c r="G33" s="25">
        <v>3097.18</v>
      </c>
      <c r="H33" s="25">
        <v>2198.04</v>
      </c>
      <c r="I33" s="25">
        <v>4852.91</v>
      </c>
      <c r="J33" s="25">
        <v>4415.7</v>
      </c>
      <c r="K33" s="25">
        <v>4220.51</v>
      </c>
    </row>
    <row r="34" spans="1:11" ht="15" customHeight="1">
      <c r="A34" s="12" t="s">
        <v>278</v>
      </c>
      <c r="B34" s="20">
        <v>-541.16</v>
      </c>
      <c r="C34" s="20">
        <v>-532.98</v>
      </c>
      <c r="D34" s="25">
        <v>265.52999999999997</v>
      </c>
      <c r="E34" s="25">
        <v>423.67</v>
      </c>
      <c r="F34" s="15">
        <v>-26.82</v>
      </c>
      <c r="G34" s="25">
        <v>175.09</v>
      </c>
      <c r="H34" s="20">
        <v>-370.66</v>
      </c>
      <c r="I34" s="26">
        <v>88.23</v>
      </c>
      <c r="J34" s="26">
        <v>66.239999999999995</v>
      </c>
      <c r="K34" s="25">
        <v>203.29</v>
      </c>
    </row>
    <row r="35" spans="1:11" ht="15" customHeight="1">
      <c r="A35" s="16" t="s">
        <v>279</v>
      </c>
      <c r="B35" s="20">
        <v>-341.14</v>
      </c>
      <c r="C35" s="15">
        <v>-17.54</v>
      </c>
      <c r="D35" s="20">
        <v>-380.07</v>
      </c>
      <c r="E35" s="25">
        <v>200.55</v>
      </c>
      <c r="F35" s="20">
        <v>-172.97</v>
      </c>
      <c r="G35" s="25">
        <v>359.46</v>
      </c>
      <c r="H35" s="20">
        <v>-321.41000000000003</v>
      </c>
      <c r="I35" s="15">
        <v>-50.61</v>
      </c>
      <c r="J35" s="15">
        <v>-14.57</v>
      </c>
      <c r="K35" s="25">
        <v>235.25</v>
      </c>
    </row>
    <row r="36" spans="1:11" ht="15" customHeight="1">
      <c r="A36" s="16" t="s">
        <v>280</v>
      </c>
      <c r="B36" s="15">
        <v>-50.69</v>
      </c>
      <c r="C36" s="20">
        <v>-122.79</v>
      </c>
      <c r="D36" s="20">
        <v>-209.56</v>
      </c>
      <c r="E36" s="26">
        <v>71.45</v>
      </c>
      <c r="F36" s="15">
        <v>-42.91</v>
      </c>
      <c r="G36" s="15">
        <v>-49.08</v>
      </c>
      <c r="H36" s="26">
        <v>31.1</v>
      </c>
      <c r="I36" s="15">
        <v>-7.79</v>
      </c>
      <c r="J36" s="26">
        <v>54.32</v>
      </c>
      <c r="K36" s="15">
        <v>-19.18</v>
      </c>
    </row>
    <row r="37" spans="1:11" ht="15" customHeight="1">
      <c r="A37" s="16" t="s">
        <v>281</v>
      </c>
      <c r="B37" s="15">
        <v>-45.21</v>
      </c>
      <c r="C37" s="15">
        <v>-58.02</v>
      </c>
      <c r="D37" s="15">
        <v>-36.450000000000003</v>
      </c>
      <c r="E37" s="26">
        <v>22.56</v>
      </c>
      <c r="F37" s="26">
        <v>8.0500000000000007</v>
      </c>
      <c r="G37" s="26">
        <v>13.26</v>
      </c>
      <c r="H37" s="15">
        <v>-79.06</v>
      </c>
      <c r="I37" s="26">
        <v>38.93</v>
      </c>
      <c r="J37" s="26">
        <v>35.770000000000003</v>
      </c>
      <c r="K37" s="15">
        <v>-12.79</v>
      </c>
    </row>
    <row r="38" spans="1:11" ht="15" customHeight="1">
      <c r="A38" s="16" t="s">
        <v>282</v>
      </c>
      <c r="B38" s="27"/>
      <c r="C38" s="20">
        <v>-294.14999999999998</v>
      </c>
      <c r="D38" s="27"/>
      <c r="E38" s="27"/>
      <c r="F38" s="27"/>
      <c r="G38" s="27"/>
      <c r="H38" s="27"/>
      <c r="I38" s="27"/>
      <c r="J38" s="27"/>
      <c r="K38" s="27"/>
    </row>
    <row r="39" spans="1:11" ht="15" customHeight="1">
      <c r="A39" s="16" t="s">
        <v>283</v>
      </c>
      <c r="B39" s="25">
        <v>169.88</v>
      </c>
      <c r="C39" s="20">
        <v>-190.25</v>
      </c>
      <c r="D39" s="25">
        <v>728.91</v>
      </c>
      <c r="E39" s="25">
        <v>146.65</v>
      </c>
      <c r="F39" s="20">
        <v>-185.04</v>
      </c>
      <c r="G39" s="15">
        <v>-64.989999999999995</v>
      </c>
      <c r="H39" s="25">
        <v>141.27000000000001</v>
      </c>
      <c r="I39" s="26">
        <v>93.43</v>
      </c>
      <c r="J39" s="15">
        <v>-49.02</v>
      </c>
      <c r="K39" s="20">
        <v>-310.69</v>
      </c>
    </row>
    <row r="40" spans="1:11" ht="15" customHeight="1">
      <c r="A40" s="16" t="s">
        <v>284</v>
      </c>
      <c r="B40" s="20">
        <v>-204.13</v>
      </c>
      <c r="C40" s="26">
        <v>94.45</v>
      </c>
      <c r="D40" s="15">
        <v>-9.11</v>
      </c>
      <c r="E40" s="15">
        <v>-36.35</v>
      </c>
      <c r="F40" s="25">
        <v>387.51</v>
      </c>
      <c r="G40" s="15">
        <v>-55.71</v>
      </c>
      <c r="H40" s="26">
        <v>47.95</v>
      </c>
      <c r="I40" s="15">
        <v>-46.71</v>
      </c>
      <c r="J40" s="25">
        <v>119.24</v>
      </c>
      <c r="K40" s="26">
        <v>43.47</v>
      </c>
    </row>
    <row r="41" spans="1:11" ht="15" customHeight="1">
      <c r="A41" s="16" t="s">
        <v>285</v>
      </c>
      <c r="B41" s="15">
        <v>-69.87</v>
      </c>
      <c r="C41" s="26">
        <v>55.32</v>
      </c>
      <c r="D41" s="25">
        <v>171.81</v>
      </c>
      <c r="E41" s="26">
        <v>18.8</v>
      </c>
      <c r="F41" s="15">
        <v>-21.45</v>
      </c>
      <c r="G41" s="15">
        <v>-27.85</v>
      </c>
      <c r="H41" s="20">
        <v>-190.51</v>
      </c>
      <c r="I41" s="26">
        <v>60.99</v>
      </c>
      <c r="J41" s="15">
        <v>-79.489999999999995</v>
      </c>
      <c r="K41" s="25">
        <v>267.22000000000003</v>
      </c>
    </row>
    <row r="42" spans="1:11" ht="15" customHeight="1">
      <c r="A42" s="18" t="s">
        <v>286</v>
      </c>
      <c r="B42" s="29">
        <v>3960.76</v>
      </c>
      <c r="C42" s="29">
        <v>1871.49</v>
      </c>
      <c r="D42" s="29">
        <v>3492.26</v>
      </c>
      <c r="E42" s="29">
        <v>3523.47</v>
      </c>
      <c r="F42" s="29">
        <v>1908.03</v>
      </c>
      <c r="G42" s="29">
        <v>3272.27</v>
      </c>
      <c r="H42" s="29">
        <v>1827.38</v>
      </c>
      <c r="I42" s="29">
        <v>4941.1499999999996</v>
      </c>
      <c r="J42" s="29">
        <v>4481.95</v>
      </c>
      <c r="K42" s="29">
        <v>4423.8</v>
      </c>
    </row>
    <row r="43" spans="1:11" ht="15" customHeight="1">
      <c r="A43" s="10" t="s">
        <v>287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 spans="1:11" ht="15" customHeight="1">
      <c r="A44" s="12" t="s">
        <v>288</v>
      </c>
      <c r="B44" s="25">
        <v>5521.23</v>
      </c>
      <c r="C44" s="25">
        <v>4528.29</v>
      </c>
      <c r="D44" s="25">
        <v>3587.27</v>
      </c>
      <c r="E44" s="25">
        <v>2870.41</v>
      </c>
      <c r="F44" s="25">
        <v>3559.95</v>
      </c>
      <c r="G44" s="25">
        <v>3472.55</v>
      </c>
      <c r="H44" s="25">
        <v>2916.04</v>
      </c>
      <c r="I44" s="25">
        <v>3182.94</v>
      </c>
      <c r="J44" s="25">
        <v>4043.42</v>
      </c>
      <c r="K44" s="25">
        <v>3674.56</v>
      </c>
    </row>
    <row r="45" spans="1:11" ht="15" customHeight="1">
      <c r="A45" s="16" t="s">
        <v>289</v>
      </c>
      <c r="B45" s="25">
        <v>5521.23</v>
      </c>
      <c r="C45" s="25">
        <v>4528.29</v>
      </c>
      <c r="D45" s="25">
        <v>3587.27</v>
      </c>
      <c r="E45" s="25">
        <v>2870.41</v>
      </c>
      <c r="F45" s="25">
        <v>3559.95</v>
      </c>
      <c r="G45" s="25">
        <v>3472.55</v>
      </c>
      <c r="H45" s="25">
        <v>2916.04</v>
      </c>
      <c r="I45" s="25">
        <v>3182.94</v>
      </c>
      <c r="J45" s="25">
        <v>4043.42</v>
      </c>
      <c r="K45" s="25">
        <v>3674.56</v>
      </c>
    </row>
    <row r="46" spans="1:11" ht="15" customHeight="1">
      <c r="A46" s="17" t="s">
        <v>290</v>
      </c>
      <c r="B46" s="25">
        <v>5521.23</v>
      </c>
      <c r="C46" s="25">
        <v>4528.29</v>
      </c>
      <c r="D46" s="25">
        <v>3587.27</v>
      </c>
      <c r="E46" s="25">
        <v>3064.7</v>
      </c>
      <c r="F46" s="25">
        <v>3562.63</v>
      </c>
      <c r="G46" s="25">
        <v>3534.9</v>
      </c>
      <c r="H46" s="25">
        <v>3466.84</v>
      </c>
      <c r="I46" s="25">
        <v>3686.4</v>
      </c>
      <c r="J46" s="25">
        <v>4063.29</v>
      </c>
      <c r="K46" s="25">
        <v>3700.14</v>
      </c>
    </row>
    <row r="47" spans="1:11" ht="15" customHeight="1">
      <c r="A47" s="17" t="s">
        <v>291</v>
      </c>
      <c r="B47" s="27"/>
      <c r="C47" s="27"/>
      <c r="D47" s="27"/>
      <c r="E47" s="25">
        <v>194.29</v>
      </c>
      <c r="F47" s="26">
        <v>2.68</v>
      </c>
      <c r="G47" s="26">
        <v>62.34</v>
      </c>
      <c r="H47" s="25">
        <v>550.80999999999995</v>
      </c>
      <c r="I47" s="25">
        <v>503.46</v>
      </c>
      <c r="J47" s="26">
        <v>19.87</v>
      </c>
      <c r="K47" s="26">
        <v>25.57</v>
      </c>
    </row>
    <row r="48" spans="1:11" s="82" customFormat="1" ht="15" customHeight="1">
      <c r="A48" s="80" t="s">
        <v>292</v>
      </c>
      <c r="B48" s="81">
        <v>5521.23</v>
      </c>
      <c r="C48" s="81">
        <v>4528.29</v>
      </c>
      <c r="D48" s="81">
        <v>3587.27</v>
      </c>
      <c r="E48" s="81">
        <v>3064.7</v>
      </c>
      <c r="F48" s="81">
        <v>3562.63</v>
      </c>
      <c r="G48" s="81">
        <v>3534.9</v>
      </c>
      <c r="H48" s="81">
        <v>3466.84</v>
      </c>
      <c r="I48" s="81">
        <v>3686.4</v>
      </c>
      <c r="J48" s="81">
        <v>4063.29</v>
      </c>
      <c r="K48" s="81">
        <v>3700.14</v>
      </c>
    </row>
    <row r="49" spans="1:11" ht="15" customHeight="1">
      <c r="A49" s="12" t="s">
        <v>293</v>
      </c>
      <c r="B49" s="15">
        <v>-17.809999999999999</v>
      </c>
      <c r="C49" s="15">
        <v>-16.190000000000001</v>
      </c>
      <c r="D49" s="15">
        <v>-14.32</v>
      </c>
      <c r="E49" s="15">
        <v>-13.79</v>
      </c>
      <c r="F49" s="15">
        <v>-29.5</v>
      </c>
      <c r="G49" s="15">
        <v>-50.4</v>
      </c>
      <c r="H49" s="15">
        <v>-69.98</v>
      </c>
      <c r="I49" s="20">
        <v>-127.16</v>
      </c>
      <c r="J49" s="20">
        <v>-147.06</v>
      </c>
      <c r="K49" s="20">
        <v>-145.76</v>
      </c>
    </row>
    <row r="50" spans="1:11" ht="15" customHeight="1">
      <c r="A50" s="16" t="s">
        <v>294</v>
      </c>
      <c r="B50" s="15">
        <v>-17.809999999999999</v>
      </c>
      <c r="C50" s="15">
        <v>-16.190000000000001</v>
      </c>
      <c r="D50" s="15">
        <v>-14.32</v>
      </c>
      <c r="E50" s="15">
        <v>-13.79</v>
      </c>
      <c r="F50" s="15">
        <v>-29.5</v>
      </c>
      <c r="G50" s="15">
        <v>-50.4</v>
      </c>
      <c r="H50" s="15">
        <v>-69.98</v>
      </c>
      <c r="I50" s="20">
        <v>-127.16</v>
      </c>
      <c r="J50" s="20">
        <v>-147.06</v>
      </c>
      <c r="K50" s="20">
        <v>-145.76</v>
      </c>
    </row>
    <row r="51" spans="1:11" ht="15" customHeight="1">
      <c r="A51" s="17" t="s">
        <v>295</v>
      </c>
      <c r="B51" s="25">
        <v>165.77</v>
      </c>
      <c r="C51" s="26">
        <v>51.27</v>
      </c>
      <c r="D51" s="26">
        <v>62.48</v>
      </c>
      <c r="E51" s="26">
        <v>60.17</v>
      </c>
      <c r="F51" s="25">
        <v>249.4</v>
      </c>
      <c r="G51" s="25">
        <v>2171.34</v>
      </c>
      <c r="H51" s="25">
        <v>1178.08</v>
      </c>
      <c r="I51" s="25">
        <v>2815.73</v>
      </c>
      <c r="J51" s="25">
        <v>2223.09</v>
      </c>
      <c r="K51" s="25">
        <v>1961.3</v>
      </c>
    </row>
    <row r="52" spans="1:11" ht="15" customHeight="1">
      <c r="A52" s="17" t="s">
        <v>296</v>
      </c>
      <c r="B52" s="25">
        <v>183.58</v>
      </c>
      <c r="C52" s="26">
        <v>67.47</v>
      </c>
      <c r="D52" s="26">
        <v>76.8</v>
      </c>
      <c r="E52" s="26">
        <v>73.95</v>
      </c>
      <c r="F52" s="25">
        <v>278.89999999999998</v>
      </c>
      <c r="G52" s="25">
        <v>2221.75</v>
      </c>
      <c r="H52" s="25">
        <v>1248.06</v>
      </c>
      <c r="I52" s="25">
        <v>2942.89</v>
      </c>
      <c r="J52" s="25">
        <v>2370.14</v>
      </c>
      <c r="K52" s="25">
        <v>2107.06</v>
      </c>
    </row>
    <row r="53" spans="1:11" ht="15" customHeight="1">
      <c r="A53" s="12" t="s">
        <v>297</v>
      </c>
      <c r="B53" s="20">
        <v>-420.6</v>
      </c>
      <c r="C53" s="20">
        <v>-383.2</v>
      </c>
      <c r="D53" s="20">
        <v>-402.2</v>
      </c>
      <c r="E53" s="20">
        <v>-323.39</v>
      </c>
      <c r="F53" s="20">
        <v>-309.74</v>
      </c>
      <c r="G53" s="20">
        <v>-287.83</v>
      </c>
      <c r="H53" s="20">
        <v>-925.36</v>
      </c>
      <c r="I53" s="20">
        <v>-223.18</v>
      </c>
      <c r="J53" s="20">
        <v>-184.15</v>
      </c>
      <c r="K53" s="20">
        <v>-171.33</v>
      </c>
    </row>
    <row r="54" spans="1:11" ht="15" customHeight="1">
      <c r="A54" s="18" t="s">
        <v>298</v>
      </c>
      <c r="B54" s="21">
        <v>-5959.64</v>
      </c>
      <c r="C54" s="21">
        <v>-4927.68</v>
      </c>
      <c r="D54" s="21">
        <v>-4003.79</v>
      </c>
      <c r="E54" s="21">
        <v>-3207.59</v>
      </c>
      <c r="F54" s="21">
        <v>-3899.19</v>
      </c>
      <c r="G54" s="21">
        <v>-3810.79</v>
      </c>
      <c r="H54" s="21">
        <v>-3911.38</v>
      </c>
      <c r="I54" s="21">
        <v>-3533.28</v>
      </c>
      <c r="J54" s="21">
        <v>-4374.63</v>
      </c>
      <c r="K54" s="21">
        <v>-3991.65</v>
      </c>
    </row>
    <row r="55" spans="1:11" ht="15" customHeight="1">
      <c r="A55" s="10" t="s">
        <v>299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</row>
    <row r="56" spans="1:11" ht="15" customHeight="1">
      <c r="A56" s="12" t="s">
        <v>300</v>
      </c>
      <c r="B56" s="25">
        <v>1328.93</v>
      </c>
      <c r="C56" s="25">
        <v>1222.48</v>
      </c>
      <c r="D56" s="25">
        <v>1159.75</v>
      </c>
      <c r="E56" s="25">
        <v>1064.18</v>
      </c>
      <c r="F56" s="25">
        <v>1133.02</v>
      </c>
      <c r="G56" s="25">
        <v>1087.6600000000001</v>
      </c>
      <c r="H56" s="25">
        <v>1115.8699999999999</v>
      </c>
      <c r="I56" s="25">
        <v>829.15</v>
      </c>
      <c r="J56" s="25">
        <v>809.48</v>
      </c>
      <c r="K56" s="25">
        <v>776.08</v>
      </c>
    </row>
    <row r="57" spans="1:11" ht="15" customHeight="1">
      <c r="A57" s="16" t="s">
        <v>301</v>
      </c>
      <c r="B57" s="25">
        <v>1328.93</v>
      </c>
      <c r="C57" s="25">
        <v>1222.48</v>
      </c>
      <c r="D57" s="25">
        <v>1159.75</v>
      </c>
      <c r="E57" s="25">
        <v>1064.18</v>
      </c>
      <c r="F57" s="25">
        <v>1133.02</v>
      </c>
      <c r="G57" s="25">
        <v>1079.7</v>
      </c>
      <c r="H57" s="25">
        <v>921.47</v>
      </c>
      <c r="I57" s="25">
        <v>829.15</v>
      </c>
      <c r="J57" s="25">
        <v>809.48</v>
      </c>
      <c r="K57" s="25">
        <v>776.08</v>
      </c>
    </row>
    <row r="58" spans="1:11" ht="15" customHeight="1">
      <c r="A58" s="16" t="s">
        <v>302</v>
      </c>
      <c r="B58" s="27"/>
      <c r="C58" s="27"/>
      <c r="D58" s="27"/>
      <c r="E58" s="27"/>
      <c r="F58" s="27"/>
      <c r="G58" s="26">
        <v>7.96</v>
      </c>
      <c r="H58" s="25">
        <v>194.4</v>
      </c>
      <c r="I58" s="27"/>
      <c r="J58" s="27"/>
      <c r="K58" s="27"/>
    </row>
    <row r="59" spans="1:11" ht="15" customHeight="1">
      <c r="A59" s="12" t="s">
        <v>303</v>
      </c>
      <c r="B59" s="27"/>
      <c r="C59" s="27"/>
      <c r="D59" s="27"/>
      <c r="E59" s="25">
        <v>1253.46</v>
      </c>
      <c r="F59" s="27"/>
      <c r="G59" s="27"/>
      <c r="H59" s="25">
        <v>3195.97</v>
      </c>
      <c r="I59" s="27"/>
      <c r="J59" s="27"/>
      <c r="K59" s="27"/>
    </row>
    <row r="60" spans="1:11" ht="15" customHeight="1">
      <c r="A60" s="16" t="s">
        <v>304</v>
      </c>
      <c r="B60" s="27"/>
      <c r="C60" s="27"/>
      <c r="D60" s="27"/>
      <c r="E60" s="25">
        <v>1253.46</v>
      </c>
      <c r="F60" s="27"/>
      <c r="G60" s="27"/>
      <c r="H60" s="25">
        <v>3195.97</v>
      </c>
      <c r="I60" s="27"/>
      <c r="J60" s="27"/>
      <c r="K60" s="27"/>
    </row>
    <row r="61" spans="1:11" ht="15" customHeight="1">
      <c r="A61" s="17" t="s">
        <v>305</v>
      </c>
      <c r="B61" s="27"/>
      <c r="C61" s="27"/>
      <c r="D61" s="27"/>
      <c r="E61" s="25">
        <v>1253.46</v>
      </c>
      <c r="F61" s="27"/>
      <c r="G61" s="27"/>
      <c r="H61" s="25">
        <v>1101.6099999999999</v>
      </c>
      <c r="I61" s="27"/>
      <c r="J61" s="27"/>
      <c r="K61" s="27"/>
    </row>
    <row r="62" spans="1:11" ht="15" customHeight="1">
      <c r="A62" s="19" t="s">
        <v>306</v>
      </c>
      <c r="B62" s="27"/>
      <c r="C62" s="27"/>
      <c r="D62" s="27"/>
      <c r="E62" s="25">
        <v>1253.46</v>
      </c>
      <c r="F62" s="27"/>
      <c r="G62" s="27"/>
      <c r="H62" s="25">
        <v>1101.6099999999999</v>
      </c>
      <c r="I62" s="27"/>
      <c r="J62" s="27"/>
      <c r="K62" s="27"/>
    </row>
    <row r="63" spans="1:11" ht="15" customHeight="1">
      <c r="A63" s="17" t="s">
        <v>307</v>
      </c>
      <c r="B63" s="27"/>
      <c r="C63" s="27"/>
      <c r="D63" s="27"/>
      <c r="E63" s="27"/>
      <c r="F63" s="27"/>
      <c r="G63" s="27"/>
      <c r="H63" s="25">
        <v>2094.36</v>
      </c>
      <c r="I63" s="27"/>
      <c r="J63" s="27"/>
      <c r="K63" s="27"/>
    </row>
    <row r="64" spans="1:11" ht="15" customHeight="1">
      <c r="A64" s="19" t="s">
        <v>308</v>
      </c>
      <c r="B64" s="27"/>
      <c r="C64" s="27"/>
      <c r="D64" s="27"/>
      <c r="E64" s="27"/>
      <c r="F64" s="27"/>
      <c r="G64" s="27"/>
      <c r="H64" s="25">
        <v>2094.36</v>
      </c>
      <c r="I64" s="27"/>
      <c r="J64" s="27"/>
      <c r="K64" s="27"/>
    </row>
    <row r="65" spans="1:11" ht="15" customHeight="1">
      <c r="A65" s="12" t="s">
        <v>309</v>
      </c>
      <c r="B65" s="25">
        <v>4677.29</v>
      </c>
      <c r="C65" s="15">
        <v>-97.15</v>
      </c>
      <c r="D65" s="25">
        <v>3040.59</v>
      </c>
      <c r="E65" s="27"/>
      <c r="F65" s="27"/>
      <c r="G65" s="27"/>
      <c r="H65" s="27"/>
      <c r="I65" s="27"/>
      <c r="J65" s="27"/>
      <c r="K65" s="27"/>
    </row>
    <row r="66" spans="1:11" ht="15" customHeight="1">
      <c r="A66" s="12" t="s">
        <v>310</v>
      </c>
      <c r="B66" s="20">
        <v>-1212.48</v>
      </c>
      <c r="C66" s="25">
        <v>4436.54</v>
      </c>
      <c r="D66" s="20">
        <v>-2870.08</v>
      </c>
      <c r="E66" s="20">
        <v>-792.18</v>
      </c>
      <c r="F66" s="25">
        <v>4707.72</v>
      </c>
      <c r="G66" s="25">
        <v>2004.21</v>
      </c>
      <c r="H66" s="20">
        <v>-238.47</v>
      </c>
      <c r="I66" s="26">
        <v>11.68</v>
      </c>
      <c r="J66" s="25">
        <v>821.4</v>
      </c>
      <c r="K66" s="25">
        <v>435.99</v>
      </c>
    </row>
    <row r="67" spans="1:11" ht="15" customHeight="1">
      <c r="A67" s="16" t="s">
        <v>311</v>
      </c>
      <c r="B67" s="20">
        <v>-308.26</v>
      </c>
      <c r="C67" s="25">
        <v>910.79</v>
      </c>
      <c r="D67" s="25">
        <v>130.16</v>
      </c>
      <c r="E67" s="20">
        <v>-2757.6</v>
      </c>
      <c r="F67" s="25">
        <v>1609.02</v>
      </c>
      <c r="G67" s="27"/>
      <c r="H67" s="25">
        <v>1231.21</v>
      </c>
      <c r="I67" s="20">
        <v>-3081.73</v>
      </c>
      <c r="J67" s="25">
        <v>1291.72</v>
      </c>
      <c r="K67" s="20">
        <v>-116.35</v>
      </c>
    </row>
    <row r="68" spans="1:11" ht="15" customHeight="1">
      <c r="A68" s="16" t="s">
        <v>312</v>
      </c>
      <c r="B68" s="20">
        <v>-904.22</v>
      </c>
      <c r="C68" s="25">
        <v>3525.75</v>
      </c>
      <c r="D68" s="20">
        <v>-3000.24</v>
      </c>
      <c r="E68" s="25">
        <v>1965.42</v>
      </c>
      <c r="F68" s="25">
        <v>3098.7</v>
      </c>
      <c r="G68" s="25">
        <v>2004.21</v>
      </c>
      <c r="H68" s="20">
        <v>-1469.68</v>
      </c>
      <c r="I68" s="25">
        <v>3093.41</v>
      </c>
      <c r="J68" s="20">
        <v>-470.32</v>
      </c>
      <c r="K68" s="25">
        <v>552.34</v>
      </c>
    </row>
    <row r="69" spans="1:11" ht="15" customHeight="1">
      <c r="A69" s="17" t="s">
        <v>313</v>
      </c>
      <c r="B69" s="25">
        <v>2877.07</v>
      </c>
      <c r="C69" s="25">
        <v>4250.33</v>
      </c>
      <c r="D69" s="25">
        <v>911.14</v>
      </c>
      <c r="E69" s="25">
        <v>2632.26</v>
      </c>
      <c r="F69" s="25">
        <v>4592.3999999999996</v>
      </c>
      <c r="G69" s="25">
        <v>3050.75</v>
      </c>
      <c r="H69" s="25">
        <v>1910.33</v>
      </c>
      <c r="I69" s="25">
        <v>6066.14</v>
      </c>
      <c r="J69" s="25">
        <v>2617.89</v>
      </c>
      <c r="K69" s="25">
        <v>1676.18</v>
      </c>
    </row>
    <row r="70" spans="1:11" ht="15" customHeight="1">
      <c r="A70" s="17" t="s">
        <v>314</v>
      </c>
      <c r="B70" s="25">
        <v>3781.29</v>
      </c>
      <c r="C70" s="25">
        <v>724.58</v>
      </c>
      <c r="D70" s="25">
        <v>3911.38</v>
      </c>
      <c r="E70" s="25">
        <v>666.84</v>
      </c>
      <c r="F70" s="25">
        <v>1493.7</v>
      </c>
      <c r="G70" s="25">
        <v>1046.54</v>
      </c>
      <c r="H70" s="25">
        <v>3380.01</v>
      </c>
      <c r="I70" s="25">
        <v>2972.73</v>
      </c>
      <c r="J70" s="25">
        <v>3088.21</v>
      </c>
      <c r="K70" s="25">
        <v>1123.8499999999999</v>
      </c>
    </row>
    <row r="71" spans="1:11" ht="15" customHeight="1">
      <c r="A71" s="12" t="s">
        <v>315</v>
      </c>
      <c r="B71" s="20">
        <v>-171.25</v>
      </c>
      <c r="C71" s="15">
        <v>-97.15</v>
      </c>
      <c r="D71" s="20">
        <v>-197.85</v>
      </c>
      <c r="E71" s="15">
        <v>-76.459999999999994</v>
      </c>
      <c r="F71" s="15">
        <v>-79.11</v>
      </c>
      <c r="G71" s="15">
        <v>-46.42</v>
      </c>
      <c r="H71" s="15">
        <v>-34.99</v>
      </c>
      <c r="I71" s="15">
        <v>-93.43</v>
      </c>
      <c r="J71" s="15">
        <v>-56.97</v>
      </c>
      <c r="K71" s="15">
        <v>-33.24</v>
      </c>
    </row>
    <row r="72" spans="1:11" s="199" customFormat="1" ht="15" customHeight="1">
      <c r="A72" s="196" t="s">
        <v>316</v>
      </c>
      <c r="B72" s="197">
        <v>1964.63</v>
      </c>
      <c r="C72" s="197">
        <v>3019.76</v>
      </c>
      <c r="D72" s="197">
        <v>-1187.08</v>
      </c>
      <c r="E72" s="197">
        <v>-679.37</v>
      </c>
      <c r="F72" s="197">
        <v>3495.59</v>
      </c>
      <c r="G72" s="197">
        <v>870.13</v>
      </c>
      <c r="H72" s="197">
        <v>1806.65</v>
      </c>
      <c r="I72" s="197">
        <v>-910.89</v>
      </c>
      <c r="J72" s="198">
        <v>-45.04</v>
      </c>
      <c r="K72" s="197">
        <v>-373.34</v>
      </c>
    </row>
    <row r="73" spans="1:11" ht="15" customHeight="1">
      <c r="A73" s="10" t="s">
        <v>317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ht="15" customHeight="1">
      <c r="A74" s="18" t="s">
        <v>318</v>
      </c>
      <c r="B74" s="23">
        <v>-34.25</v>
      </c>
      <c r="C74" s="23">
        <v>-36.43</v>
      </c>
      <c r="D74" s="21">
        <v>-1698.62</v>
      </c>
      <c r="E74" s="21">
        <v>-363.5</v>
      </c>
      <c r="F74" s="29">
        <v>1504.43</v>
      </c>
      <c r="G74" s="29">
        <v>331.6</v>
      </c>
      <c r="H74" s="21">
        <v>-277.35000000000002</v>
      </c>
      <c r="I74" s="29">
        <v>496.97</v>
      </c>
      <c r="J74" s="30">
        <v>62.27</v>
      </c>
      <c r="K74" s="30">
        <v>58.81</v>
      </c>
    </row>
    <row r="75" spans="1:11" ht="15" customHeight="1">
      <c r="A75" s="16" t="s">
        <v>319</v>
      </c>
      <c r="B75" s="15">
        <v>-34.25</v>
      </c>
      <c r="C75" s="15">
        <v>-36.43</v>
      </c>
      <c r="D75" s="20">
        <v>-1698.62</v>
      </c>
      <c r="E75" s="20">
        <v>-363.5</v>
      </c>
      <c r="F75" s="25">
        <v>1504.43</v>
      </c>
      <c r="G75" s="25">
        <v>331.6</v>
      </c>
      <c r="H75" s="20">
        <v>-277.35000000000002</v>
      </c>
      <c r="I75" s="25">
        <v>496.97</v>
      </c>
      <c r="J75" s="26">
        <v>62.27</v>
      </c>
      <c r="K75" s="26">
        <v>58.81</v>
      </c>
    </row>
    <row r="76" spans="1:11" ht="15" customHeight="1">
      <c r="A76" s="12" t="s">
        <v>320</v>
      </c>
      <c r="B76" s="25">
        <v>257.39999999999998</v>
      </c>
      <c r="C76" s="25">
        <v>272.85000000000002</v>
      </c>
      <c r="D76" s="25">
        <v>2047.25</v>
      </c>
      <c r="E76" s="25">
        <v>2275.38</v>
      </c>
      <c r="F76" s="25">
        <v>864.37</v>
      </c>
      <c r="G76" s="25">
        <v>557.1</v>
      </c>
      <c r="H76" s="25">
        <v>876.86</v>
      </c>
      <c r="I76" s="25">
        <v>327</v>
      </c>
      <c r="J76" s="25">
        <v>286.06</v>
      </c>
      <c r="K76" s="25">
        <v>117.63</v>
      </c>
    </row>
    <row r="77" spans="1:11" ht="15" customHeight="1">
      <c r="A77" s="12" t="s">
        <v>321</v>
      </c>
      <c r="B77" s="25">
        <v>221.45</v>
      </c>
      <c r="C77" s="25">
        <v>237.09</v>
      </c>
      <c r="D77" s="25">
        <v>279.11</v>
      </c>
      <c r="E77" s="25">
        <v>1909</v>
      </c>
      <c r="F77" s="25">
        <v>2292.67</v>
      </c>
      <c r="G77" s="25">
        <v>881.75</v>
      </c>
      <c r="H77" s="25">
        <v>585.03</v>
      </c>
      <c r="I77" s="25">
        <v>808.7</v>
      </c>
      <c r="J77" s="25">
        <v>349.18</v>
      </c>
      <c r="K77" s="25">
        <v>181.29</v>
      </c>
    </row>
    <row r="78" spans="1:11" ht="15" customHeight="1">
      <c r="A78" s="10" t="s">
        <v>322</v>
      </c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ht="15" customHeight="1">
      <c r="A79" s="12" t="s">
        <v>323</v>
      </c>
      <c r="B79" s="25">
        <v>220.58</v>
      </c>
      <c r="C79" s="26">
        <v>78.260000000000005</v>
      </c>
      <c r="D79" s="26">
        <v>27.33</v>
      </c>
      <c r="E79" s="15">
        <v>-8.77</v>
      </c>
      <c r="F79" s="26">
        <v>8.0500000000000007</v>
      </c>
      <c r="G79" s="26">
        <v>15.92</v>
      </c>
      <c r="H79" s="26">
        <v>63.5</v>
      </c>
      <c r="I79" s="26">
        <v>68.77</v>
      </c>
      <c r="J79" s="15">
        <v>-21.2</v>
      </c>
      <c r="K79" s="26">
        <v>47.31</v>
      </c>
    </row>
    <row r="80" spans="1:11" ht="15" customHeight="1">
      <c r="A80" s="12" t="s">
        <v>324</v>
      </c>
      <c r="B80" s="25">
        <v>1454.97</v>
      </c>
      <c r="C80" s="25">
        <v>1352.01</v>
      </c>
      <c r="D80" s="25">
        <v>1328.96</v>
      </c>
      <c r="E80" s="25">
        <v>1360</v>
      </c>
      <c r="F80" s="25">
        <v>1300.6199999999999</v>
      </c>
      <c r="G80" s="25">
        <v>1273.3599999999999</v>
      </c>
      <c r="H80" s="25">
        <v>1388.03</v>
      </c>
      <c r="I80" s="25">
        <v>1348.18</v>
      </c>
      <c r="J80" s="25">
        <v>1391.09</v>
      </c>
      <c r="K80" s="25">
        <v>1314.35</v>
      </c>
    </row>
    <row r="81" spans="1:11" ht="15" customHeight="1">
      <c r="A81" s="12" t="s">
        <v>325</v>
      </c>
      <c r="B81" s="25">
        <v>4501.93</v>
      </c>
      <c r="C81" s="25">
        <v>2404.4699999999998</v>
      </c>
      <c r="D81" s="25">
        <v>3226.72</v>
      </c>
      <c r="E81" s="25">
        <v>3099.8</v>
      </c>
      <c r="F81" s="25">
        <v>1934.84</v>
      </c>
      <c r="G81" s="25">
        <v>3097.18</v>
      </c>
      <c r="H81" s="25">
        <v>2198.04</v>
      </c>
      <c r="I81" s="25">
        <v>4852.91</v>
      </c>
      <c r="J81" s="25">
        <v>4415.7</v>
      </c>
      <c r="K81" s="25">
        <v>4220.51</v>
      </c>
    </row>
    <row r="82" spans="1:11" ht="15" customHeight="1">
      <c r="A82" s="12" t="s">
        <v>326</v>
      </c>
      <c r="B82" s="27"/>
      <c r="C82" s="25">
        <v>1222.48</v>
      </c>
      <c r="D82" s="25">
        <v>1159.75</v>
      </c>
      <c r="E82" s="20">
        <v>-189.27</v>
      </c>
      <c r="F82" s="25">
        <v>1133.02</v>
      </c>
      <c r="G82" s="25">
        <v>1079.7</v>
      </c>
      <c r="H82" s="20">
        <v>-180.15</v>
      </c>
      <c r="I82" s="25">
        <v>829.15</v>
      </c>
      <c r="J82" s="25">
        <v>809.48</v>
      </c>
      <c r="K82" s="27"/>
    </row>
    <row r="83" spans="1:11" ht="15" customHeight="1">
      <c r="A83" s="12" t="s">
        <v>327</v>
      </c>
      <c r="B83" s="27"/>
      <c r="C83" s="27"/>
      <c r="D83" s="27"/>
      <c r="E83" s="20">
        <v>-1253.46</v>
      </c>
      <c r="F83" s="27"/>
      <c r="G83" s="27"/>
      <c r="H83" s="20">
        <v>-1101.6099999999999</v>
      </c>
      <c r="I83" s="27"/>
      <c r="J83" s="27"/>
      <c r="K83" s="27"/>
    </row>
    <row r="84" spans="1:11" ht="15" customHeight="1">
      <c r="A84" s="12" t="s">
        <v>328</v>
      </c>
      <c r="B84" s="25">
        <v>2175.61</v>
      </c>
      <c r="C84" s="25">
        <v>1727.12</v>
      </c>
      <c r="D84" s="25">
        <v>1714.24</v>
      </c>
      <c r="E84" s="25">
        <v>2006.78</v>
      </c>
      <c r="F84" s="25">
        <v>1607.68</v>
      </c>
      <c r="G84" s="25">
        <v>1614.25</v>
      </c>
      <c r="H84" s="25">
        <v>1793.69</v>
      </c>
      <c r="I84" s="25">
        <v>2205.87</v>
      </c>
      <c r="J84" s="25">
        <v>2615.2399999999998</v>
      </c>
      <c r="K84" s="25">
        <v>2334.64</v>
      </c>
    </row>
    <row r="85" spans="1:11" ht="15" customHeight="1">
      <c r="A85" s="12" t="s">
        <v>329</v>
      </c>
      <c r="B85" s="20">
        <v>-2772.94</v>
      </c>
      <c r="C85" s="25">
        <v>1779.74</v>
      </c>
      <c r="D85" s="20">
        <v>-2965.1</v>
      </c>
      <c r="E85" s="20">
        <v>-139.13</v>
      </c>
      <c r="F85" s="25">
        <v>3055.79</v>
      </c>
      <c r="G85" s="25">
        <v>1803.92</v>
      </c>
      <c r="H85" s="20">
        <v>-1327.12</v>
      </c>
      <c r="I85" s="25">
        <v>1769.89</v>
      </c>
      <c r="J85" s="25">
        <v>1259.93</v>
      </c>
      <c r="K85" s="25">
        <v>1185.22</v>
      </c>
    </row>
    <row r="86" spans="1:11" ht="15" customHeight="1">
      <c r="A86" s="12" t="s">
        <v>330</v>
      </c>
      <c r="B86" s="20">
        <v>-2889.4</v>
      </c>
      <c r="C86" s="20">
        <v>-3879.27</v>
      </c>
      <c r="D86" s="20">
        <v>-1254.77</v>
      </c>
      <c r="E86" s="20">
        <v>-605.41999999999996</v>
      </c>
      <c r="F86" s="20">
        <v>-2787.62</v>
      </c>
      <c r="G86" s="20">
        <v>-1350.29</v>
      </c>
      <c r="H86" s="20">
        <v>-2755.33</v>
      </c>
      <c r="I86" s="25">
        <v>425.6</v>
      </c>
      <c r="J86" s="20">
        <v>-390.83</v>
      </c>
      <c r="K86" s="15">
        <v>-52.42</v>
      </c>
    </row>
    <row r="87" spans="1:11" ht="15" customHeight="1">
      <c r="A87" s="12" t="s">
        <v>331</v>
      </c>
      <c r="B87" s="20">
        <v>-1560.47</v>
      </c>
      <c r="C87" s="20">
        <v>-2656.79</v>
      </c>
      <c r="D87" s="15">
        <v>-95.02</v>
      </c>
      <c r="E87" s="25">
        <v>458.76</v>
      </c>
      <c r="F87" s="20">
        <v>-1654.61</v>
      </c>
      <c r="G87" s="20">
        <v>-262.63</v>
      </c>
      <c r="H87" s="20">
        <v>-1639.46</v>
      </c>
      <c r="I87" s="25">
        <v>1254.75</v>
      </c>
      <c r="J87" s="25">
        <v>418.65</v>
      </c>
      <c r="K87" s="25">
        <v>723.66</v>
      </c>
    </row>
    <row r="88" spans="1:11" ht="15" customHeight="1">
      <c r="A88" s="12" t="s">
        <v>332</v>
      </c>
      <c r="B88" s="25">
        <v>1341.26</v>
      </c>
      <c r="C88" s="25">
        <v>1237.32</v>
      </c>
      <c r="D88" s="25">
        <v>1161.05</v>
      </c>
      <c r="E88" s="25">
        <v>1076.72</v>
      </c>
      <c r="F88" s="25">
        <v>1134.3599999999999</v>
      </c>
      <c r="G88" s="25">
        <v>1079.7</v>
      </c>
      <c r="H88" s="25">
        <v>921.47</v>
      </c>
      <c r="I88" s="25">
        <v>829.15</v>
      </c>
      <c r="J88" s="25">
        <v>809.48</v>
      </c>
      <c r="K88" s="25">
        <v>776.08</v>
      </c>
    </row>
  </sheetData>
  <mergeCells count="70"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B17"/>
    <mergeCell ref="C12"/>
    <mergeCell ref="C13"/>
    <mergeCell ref="C14"/>
    <mergeCell ref="C15"/>
    <mergeCell ref="C16"/>
    <mergeCell ref="C17"/>
    <mergeCell ref="B12"/>
    <mergeCell ref="B13"/>
    <mergeCell ref="B14"/>
    <mergeCell ref="B15"/>
    <mergeCell ref="B16"/>
    <mergeCell ref="D17"/>
    <mergeCell ref="E12"/>
    <mergeCell ref="E13"/>
    <mergeCell ref="E14"/>
    <mergeCell ref="E15"/>
    <mergeCell ref="E16"/>
    <mergeCell ref="E17"/>
    <mergeCell ref="D12"/>
    <mergeCell ref="D13"/>
    <mergeCell ref="D14"/>
    <mergeCell ref="D15"/>
    <mergeCell ref="D16"/>
    <mergeCell ref="F17"/>
    <mergeCell ref="G12"/>
    <mergeCell ref="G13"/>
    <mergeCell ref="G14"/>
    <mergeCell ref="G15"/>
    <mergeCell ref="G16"/>
    <mergeCell ref="G17"/>
    <mergeCell ref="F12"/>
    <mergeCell ref="F13"/>
    <mergeCell ref="F14"/>
    <mergeCell ref="F15"/>
    <mergeCell ref="F16"/>
    <mergeCell ref="H17"/>
    <mergeCell ref="I12"/>
    <mergeCell ref="I13"/>
    <mergeCell ref="I14"/>
    <mergeCell ref="I15"/>
    <mergeCell ref="I16"/>
    <mergeCell ref="I17"/>
    <mergeCell ref="H12"/>
    <mergeCell ref="H13"/>
    <mergeCell ref="H14"/>
    <mergeCell ref="H15"/>
    <mergeCell ref="H16"/>
    <mergeCell ref="J17"/>
    <mergeCell ref="K12"/>
    <mergeCell ref="K13"/>
    <mergeCell ref="K14"/>
    <mergeCell ref="K15"/>
    <mergeCell ref="K16"/>
    <mergeCell ref="K17"/>
    <mergeCell ref="J12"/>
    <mergeCell ref="J13"/>
    <mergeCell ref="J14"/>
    <mergeCell ref="J15"/>
    <mergeCell ref="J16"/>
  </mergeCells>
  <phoneticPr fontId="8" type="noConversion"/>
  <pageMargins left="0.5" right="0.5" top="1" bottom="1" header="0.5" footer="0.7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251"/>
  <sheetViews>
    <sheetView tabSelected="1" zoomScale="56" workbookViewId="0">
      <selection activeCell="B2" sqref="B2"/>
    </sheetView>
  </sheetViews>
  <sheetFormatPr defaultColWidth="8.77734375" defaultRowHeight="14.4" outlineLevelRow="1"/>
  <cols>
    <col min="1" max="1" width="85.6640625" customWidth="1"/>
    <col min="2" max="11" width="15.6640625" customWidth="1"/>
  </cols>
  <sheetData>
    <row r="1" spans="1:11" ht="15" customHeight="1">
      <c r="A1" s="1" t="s">
        <v>333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5" customHeight="1">
      <c r="A2" s="3" t="s">
        <v>0</v>
      </c>
      <c r="B2" s="4" t="s">
        <v>1</v>
      </c>
    </row>
    <row r="3" spans="1:11">
      <c r="A3" s="3" t="s">
        <v>2</v>
      </c>
      <c r="B3" s="3" t="s">
        <v>3</v>
      </c>
    </row>
    <row r="4" spans="1:11">
      <c r="A4" s="3" t="s">
        <v>4</v>
      </c>
      <c r="B4" s="3" t="s">
        <v>3</v>
      </c>
    </row>
    <row r="5" spans="1:11">
      <c r="A5" s="3" t="s">
        <v>5</v>
      </c>
      <c r="B5" s="3" t="s">
        <v>6</v>
      </c>
    </row>
    <row r="6" spans="1:11">
      <c r="A6" s="3" t="s">
        <v>7</v>
      </c>
      <c r="B6" s="3" t="s">
        <v>8</v>
      </c>
    </row>
    <row r="7" spans="1:11">
      <c r="A7" s="3" t="s">
        <v>9</v>
      </c>
      <c r="B7" s="3" t="s">
        <v>10</v>
      </c>
    </row>
    <row r="8" spans="1:11">
      <c r="A8" s="3" t="s">
        <v>11</v>
      </c>
      <c r="B8" s="3" t="s">
        <v>12</v>
      </c>
    </row>
    <row r="9" spans="1:11">
      <c r="A9" s="3" t="s">
        <v>13</v>
      </c>
      <c r="B9" s="3" t="s">
        <v>14</v>
      </c>
    </row>
    <row r="10" spans="1:11">
      <c r="A10" s="3" t="s">
        <v>15</v>
      </c>
      <c r="B10" s="5">
        <v>45975.877708587999</v>
      </c>
    </row>
    <row r="11" spans="1:11">
      <c r="A11" s="6" t="s">
        <v>16</v>
      </c>
      <c r="B11" s="211" t="s">
        <v>17</v>
      </c>
      <c r="C11" s="211" t="s">
        <v>18</v>
      </c>
      <c r="D11" s="211" t="s">
        <v>19</v>
      </c>
      <c r="E11" s="211" t="s">
        <v>20</v>
      </c>
      <c r="F11" s="211" t="s">
        <v>21</v>
      </c>
      <c r="G11" s="211" t="s">
        <v>22</v>
      </c>
      <c r="H11" s="211" t="s">
        <v>23</v>
      </c>
      <c r="I11" s="211" t="s">
        <v>24</v>
      </c>
      <c r="J11" s="211" t="s">
        <v>25</v>
      </c>
      <c r="K11" s="211" t="s">
        <v>26</v>
      </c>
    </row>
    <row r="12" spans="1:11" ht="15" customHeight="1" outlineLevel="1">
      <c r="A12" s="7" t="s">
        <v>27</v>
      </c>
      <c r="B12" s="209">
        <v>45657</v>
      </c>
      <c r="C12" s="209">
        <v>45291</v>
      </c>
      <c r="D12" s="209">
        <v>44926</v>
      </c>
      <c r="E12" s="209">
        <v>44561</v>
      </c>
      <c r="F12" s="209">
        <v>44196</v>
      </c>
      <c r="G12" s="209">
        <v>43830</v>
      </c>
      <c r="H12" s="209">
        <v>43465</v>
      </c>
      <c r="I12" s="209">
        <v>43100</v>
      </c>
      <c r="J12" s="209">
        <v>42735</v>
      </c>
      <c r="K12" s="209">
        <v>42369</v>
      </c>
    </row>
    <row r="13" spans="1:11" ht="15" customHeight="1" outlineLevel="1">
      <c r="A13" s="7" t="s">
        <v>28</v>
      </c>
      <c r="B13" s="209">
        <v>45656</v>
      </c>
      <c r="C13" s="209">
        <v>45290</v>
      </c>
      <c r="D13" s="209">
        <v>44925</v>
      </c>
      <c r="E13" s="209">
        <v>44560</v>
      </c>
      <c r="F13" s="209">
        <v>44195</v>
      </c>
      <c r="G13" s="209">
        <v>43829</v>
      </c>
      <c r="H13" s="209">
        <v>43464</v>
      </c>
      <c r="I13" s="209">
        <v>43464</v>
      </c>
      <c r="J13" s="209">
        <v>42734</v>
      </c>
      <c r="K13" s="209">
        <v>42734</v>
      </c>
    </row>
    <row r="14" spans="1:11" ht="15" customHeight="1" outlineLevel="1">
      <c r="A14" s="7" t="s">
        <v>29</v>
      </c>
      <c r="B14" s="210" t="s">
        <v>30</v>
      </c>
      <c r="C14" s="210" t="s">
        <v>30</v>
      </c>
      <c r="D14" s="210" t="s">
        <v>30</v>
      </c>
      <c r="E14" s="210" t="s">
        <v>30</v>
      </c>
      <c r="F14" s="210" t="s">
        <v>30</v>
      </c>
      <c r="G14" s="210" t="s">
        <v>30</v>
      </c>
      <c r="H14" s="210" t="s">
        <v>30</v>
      </c>
      <c r="I14" s="210" t="s">
        <v>30</v>
      </c>
      <c r="J14" s="210" t="s">
        <v>30</v>
      </c>
      <c r="K14" s="210" t="s">
        <v>30</v>
      </c>
    </row>
    <row r="15" spans="1:11" ht="15" customHeight="1" outlineLevel="1">
      <c r="A15" s="7" t="s">
        <v>31</v>
      </c>
      <c r="B15" s="210" t="s">
        <v>334</v>
      </c>
      <c r="C15" s="210" t="s">
        <v>334</v>
      </c>
      <c r="D15" s="210" t="s">
        <v>334</v>
      </c>
      <c r="E15" s="210" t="s">
        <v>334</v>
      </c>
      <c r="F15" s="210" t="s">
        <v>334</v>
      </c>
      <c r="G15" s="210" t="s">
        <v>334</v>
      </c>
      <c r="H15" s="210" t="s">
        <v>334</v>
      </c>
      <c r="I15" s="210" t="s">
        <v>334</v>
      </c>
      <c r="J15" s="210" t="s">
        <v>334</v>
      </c>
      <c r="K15" s="210" t="s">
        <v>334</v>
      </c>
    </row>
    <row r="16" spans="1:11" ht="15" customHeight="1" outlineLevel="1">
      <c r="A16" s="7" t="s">
        <v>33</v>
      </c>
      <c r="B16" s="208">
        <v>1.4379999999999999</v>
      </c>
      <c r="C16" s="208">
        <v>1.3245</v>
      </c>
      <c r="D16" s="208">
        <v>1.3549</v>
      </c>
      <c r="E16" s="208">
        <v>1.2634000000000001</v>
      </c>
      <c r="F16" s="208">
        <v>1.2729999999999999</v>
      </c>
      <c r="G16" s="208">
        <v>1.2986</v>
      </c>
      <c r="H16" s="208">
        <v>1.3636999999999999</v>
      </c>
      <c r="I16" s="208">
        <v>1.2577</v>
      </c>
      <c r="J16" s="208">
        <v>1.343</v>
      </c>
      <c r="K16" s="208">
        <v>1.3838999999999999</v>
      </c>
    </row>
    <row r="17" spans="1:11" ht="15" customHeight="1" outlineLevel="1">
      <c r="A17" s="7" t="s">
        <v>34</v>
      </c>
      <c r="B17" s="208"/>
      <c r="C17" s="208"/>
      <c r="D17" s="208"/>
      <c r="E17" s="208"/>
      <c r="F17" s="208"/>
      <c r="G17" s="208"/>
      <c r="H17" s="208"/>
      <c r="I17" s="208"/>
      <c r="J17" s="208"/>
      <c r="K17" s="208"/>
    </row>
    <row r="19" spans="1:11">
      <c r="A19" s="8" t="s">
        <v>335</v>
      </c>
      <c r="B19" s="6"/>
      <c r="C19" s="6"/>
      <c r="D19" s="6"/>
      <c r="E19" s="6"/>
      <c r="F19" s="6"/>
      <c r="G19" s="6"/>
      <c r="H19" s="6"/>
      <c r="I19" s="6"/>
      <c r="J19" s="6"/>
      <c r="K19" s="6"/>
    </row>
    <row r="20" spans="1:11">
      <c r="A20" s="8" t="s">
        <v>36</v>
      </c>
      <c r="B20" s="9" t="s">
        <v>37</v>
      </c>
      <c r="C20" s="9" t="s">
        <v>38</v>
      </c>
      <c r="D20" s="9" t="s">
        <v>39</v>
      </c>
      <c r="E20" s="9" t="s">
        <v>40</v>
      </c>
      <c r="F20" s="9" t="s">
        <v>41</v>
      </c>
      <c r="G20" s="9" t="s">
        <v>42</v>
      </c>
      <c r="H20" s="9" t="s">
        <v>43</v>
      </c>
      <c r="I20" s="9" t="s">
        <v>44</v>
      </c>
      <c r="J20" s="9" t="s">
        <v>45</v>
      </c>
      <c r="K20" s="9" t="s">
        <v>46</v>
      </c>
    </row>
    <row r="21" spans="1:11" ht="15" customHeight="1">
      <c r="A21" s="10" t="s">
        <v>336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1:11" ht="15" customHeight="1">
      <c r="A22" s="12" t="s">
        <v>337</v>
      </c>
      <c r="B22" s="25">
        <v>159.62</v>
      </c>
      <c r="C22" s="25">
        <v>181.46</v>
      </c>
      <c r="D22" s="25">
        <v>216.78</v>
      </c>
      <c r="E22" s="25">
        <v>1847.09</v>
      </c>
      <c r="F22" s="25">
        <v>2207.38</v>
      </c>
      <c r="G22" s="25">
        <v>814.22</v>
      </c>
      <c r="H22" s="25">
        <v>500.48</v>
      </c>
      <c r="I22" s="25">
        <v>739.53</v>
      </c>
      <c r="J22" s="25">
        <v>267.26</v>
      </c>
      <c r="K22" s="25">
        <v>181.29</v>
      </c>
    </row>
    <row r="23" spans="1:11" ht="15" customHeight="1">
      <c r="A23" s="16" t="s">
        <v>338</v>
      </c>
      <c r="B23" s="25">
        <v>159.62</v>
      </c>
      <c r="C23" s="25">
        <v>181.46</v>
      </c>
      <c r="D23" s="25">
        <v>216.78</v>
      </c>
      <c r="E23" s="25">
        <v>1847.09</v>
      </c>
      <c r="F23" s="25">
        <v>2207.38</v>
      </c>
      <c r="G23" s="25">
        <v>814.22</v>
      </c>
      <c r="H23" s="25">
        <v>500.48</v>
      </c>
      <c r="I23" s="25">
        <v>739.53</v>
      </c>
      <c r="J23" s="25">
        <v>267.26</v>
      </c>
      <c r="K23" s="25">
        <v>181.29</v>
      </c>
    </row>
    <row r="24" spans="1:11" ht="15" customHeight="1">
      <c r="A24" s="12" t="s">
        <v>339</v>
      </c>
      <c r="B24" s="27"/>
      <c r="C24" s="27"/>
      <c r="D24" s="27"/>
      <c r="E24" s="27"/>
      <c r="F24" s="27"/>
      <c r="G24" s="27"/>
      <c r="H24" s="27"/>
      <c r="I24" s="27"/>
      <c r="J24" s="25">
        <v>188.02</v>
      </c>
      <c r="K24" s="25">
        <v>217.27</v>
      </c>
    </row>
    <row r="25" spans="1:11" ht="15" customHeight="1">
      <c r="A25" s="12" t="s">
        <v>340</v>
      </c>
      <c r="B25" s="25">
        <v>2635.85</v>
      </c>
      <c r="C25" s="25">
        <v>2098.0100000000002</v>
      </c>
      <c r="D25" s="25">
        <v>2128.5500000000002</v>
      </c>
      <c r="E25" s="25">
        <v>1615.89</v>
      </c>
      <c r="F25" s="25">
        <v>1831.85</v>
      </c>
      <c r="G25" s="25">
        <v>1680.39</v>
      </c>
      <c r="H25" s="25">
        <v>2060.5500000000002</v>
      </c>
      <c r="I25" s="25">
        <v>1826.18</v>
      </c>
      <c r="J25" s="25">
        <v>2168.9499999999998</v>
      </c>
      <c r="K25" s="25">
        <v>2207.3200000000002</v>
      </c>
    </row>
    <row r="26" spans="1:11" ht="15" customHeight="1">
      <c r="A26" s="16" t="s">
        <v>341</v>
      </c>
      <c r="B26" s="25">
        <v>2200.14</v>
      </c>
      <c r="C26" s="25">
        <v>1745.69</v>
      </c>
      <c r="D26" s="25">
        <v>1785.76</v>
      </c>
      <c r="E26" s="25">
        <v>1305.0899999999999</v>
      </c>
      <c r="F26" s="25">
        <v>1531.42</v>
      </c>
      <c r="G26" s="25">
        <v>1416.77</v>
      </c>
      <c r="H26" s="25">
        <v>1692.35</v>
      </c>
      <c r="I26" s="25">
        <v>1612.37</v>
      </c>
      <c r="J26" s="25">
        <v>1933.92</v>
      </c>
      <c r="K26" s="25">
        <v>1958.22</v>
      </c>
    </row>
    <row r="27" spans="1:11" ht="15" customHeight="1">
      <c r="A27" s="17" t="s">
        <v>342</v>
      </c>
      <c r="B27" s="25">
        <v>2279.23</v>
      </c>
      <c r="C27" s="25">
        <v>1830.46</v>
      </c>
      <c r="D27" s="25">
        <v>1971.38</v>
      </c>
      <c r="E27" s="25">
        <v>1505.97</v>
      </c>
      <c r="F27" s="25">
        <v>1740.19</v>
      </c>
      <c r="G27" s="25">
        <v>2856.92</v>
      </c>
      <c r="H27" s="25">
        <v>1760.54</v>
      </c>
      <c r="I27" s="25">
        <v>1674</v>
      </c>
      <c r="J27" s="25">
        <v>2005.1</v>
      </c>
      <c r="K27" s="25">
        <v>2053.71</v>
      </c>
    </row>
    <row r="28" spans="1:11" ht="15" customHeight="1">
      <c r="A28" s="17" t="s">
        <v>343</v>
      </c>
      <c r="B28" s="26">
        <v>79.09</v>
      </c>
      <c r="C28" s="26">
        <v>84.77</v>
      </c>
      <c r="D28" s="25">
        <v>185.62</v>
      </c>
      <c r="E28" s="25">
        <v>200.88</v>
      </c>
      <c r="F28" s="25">
        <v>208.77</v>
      </c>
      <c r="G28" s="25">
        <v>1440.15</v>
      </c>
      <c r="H28" s="26">
        <v>68.19</v>
      </c>
      <c r="I28" s="26">
        <v>61.63</v>
      </c>
      <c r="J28" s="26">
        <v>71.180000000000007</v>
      </c>
      <c r="K28" s="26">
        <v>95.49</v>
      </c>
    </row>
    <row r="29" spans="1:11" ht="15" customHeight="1">
      <c r="A29" s="16" t="s">
        <v>344</v>
      </c>
      <c r="B29" s="25">
        <v>435.71</v>
      </c>
      <c r="C29" s="25">
        <v>352.32</v>
      </c>
      <c r="D29" s="25">
        <v>342.79</v>
      </c>
      <c r="E29" s="25">
        <v>310.8</v>
      </c>
      <c r="F29" s="25">
        <v>300.43</v>
      </c>
      <c r="G29" s="25">
        <v>263.62</v>
      </c>
      <c r="H29" s="25">
        <v>368.2</v>
      </c>
      <c r="I29" s="25">
        <v>213.81</v>
      </c>
      <c r="J29" s="25">
        <v>235.03</v>
      </c>
      <c r="K29" s="25">
        <v>249.1</v>
      </c>
    </row>
    <row r="30" spans="1:11" ht="15" customHeight="1">
      <c r="A30" s="12" t="s">
        <v>345</v>
      </c>
      <c r="B30" s="25">
        <v>789.46</v>
      </c>
      <c r="C30" s="25">
        <v>678.14</v>
      </c>
      <c r="D30" s="25">
        <v>570.41</v>
      </c>
      <c r="E30" s="25">
        <v>328.48</v>
      </c>
      <c r="F30" s="25">
        <v>403.54</v>
      </c>
      <c r="G30" s="25">
        <v>364.91</v>
      </c>
      <c r="H30" s="25">
        <v>343.65</v>
      </c>
      <c r="I30" s="25">
        <v>296.82</v>
      </c>
      <c r="J30" s="25">
        <v>757.45</v>
      </c>
      <c r="K30" s="25">
        <v>1086.3599999999999</v>
      </c>
    </row>
    <row r="31" spans="1:11" ht="15" customHeight="1">
      <c r="A31" s="16" t="s">
        <v>346</v>
      </c>
      <c r="B31" s="25">
        <v>789.46</v>
      </c>
      <c r="C31" s="25">
        <v>678.14</v>
      </c>
      <c r="D31" s="25">
        <v>570.41</v>
      </c>
      <c r="E31" s="25">
        <v>328.48</v>
      </c>
      <c r="F31" s="25">
        <v>403.54</v>
      </c>
      <c r="G31" s="25">
        <v>364.91</v>
      </c>
      <c r="H31" s="25">
        <v>343.65</v>
      </c>
      <c r="I31" s="25">
        <v>296.82</v>
      </c>
      <c r="J31" s="25">
        <v>757.45</v>
      </c>
      <c r="K31" s="25">
        <v>1086.3599999999999</v>
      </c>
    </row>
    <row r="32" spans="1:11" ht="15" customHeight="1">
      <c r="A32" s="12" t="s">
        <v>347</v>
      </c>
      <c r="B32" s="25">
        <v>345.12</v>
      </c>
      <c r="C32" s="25">
        <v>388.08</v>
      </c>
      <c r="D32" s="25">
        <v>294.01</v>
      </c>
      <c r="E32" s="25">
        <v>236.26</v>
      </c>
      <c r="F32" s="25">
        <v>199.86</v>
      </c>
      <c r="G32" s="25">
        <v>203.88</v>
      </c>
      <c r="H32" s="25">
        <v>238.65</v>
      </c>
      <c r="I32" s="25">
        <v>189.91</v>
      </c>
      <c r="J32" s="25">
        <v>131.61000000000001</v>
      </c>
      <c r="K32" s="25">
        <v>186.83</v>
      </c>
    </row>
    <row r="33" spans="1:11" ht="15" customHeight="1">
      <c r="A33" s="12" t="s">
        <v>348</v>
      </c>
      <c r="B33" s="27"/>
      <c r="C33" s="27"/>
      <c r="D33" s="27"/>
      <c r="E33" s="27"/>
      <c r="F33" s="27">
        <v>0</v>
      </c>
      <c r="G33" s="26">
        <v>42.85</v>
      </c>
      <c r="H33" s="26">
        <v>34.090000000000003</v>
      </c>
      <c r="I33" s="25">
        <v>794.87</v>
      </c>
      <c r="J33" s="27"/>
      <c r="K33" s="27"/>
    </row>
    <row r="34" spans="1:11" ht="15" customHeight="1">
      <c r="A34" s="12" t="s">
        <v>349</v>
      </c>
      <c r="B34" s="26">
        <v>61.83</v>
      </c>
      <c r="C34" s="26">
        <v>55.63</v>
      </c>
      <c r="D34" s="26">
        <v>62.33</v>
      </c>
      <c r="E34" s="26">
        <v>61.91</v>
      </c>
      <c r="F34" s="26">
        <v>85.29</v>
      </c>
      <c r="G34" s="26">
        <v>67.53</v>
      </c>
      <c r="H34" s="26">
        <v>84.55</v>
      </c>
      <c r="I34" s="26">
        <v>64.14</v>
      </c>
      <c r="J34" s="25">
        <v>448.56</v>
      </c>
      <c r="K34" s="25">
        <v>327.98</v>
      </c>
    </row>
    <row r="35" spans="1:11" ht="15" customHeight="1">
      <c r="A35" s="16" t="s">
        <v>350</v>
      </c>
      <c r="B35" s="26">
        <v>61.83</v>
      </c>
      <c r="C35" s="26">
        <v>55.63</v>
      </c>
      <c r="D35" s="26">
        <v>62.33</v>
      </c>
      <c r="E35" s="26">
        <v>61.91</v>
      </c>
      <c r="F35" s="26">
        <v>85.29</v>
      </c>
      <c r="G35" s="26">
        <v>67.53</v>
      </c>
      <c r="H35" s="26">
        <v>84.55</v>
      </c>
      <c r="I35" s="26">
        <v>64.14</v>
      </c>
      <c r="J35" s="27"/>
      <c r="K35" s="27"/>
    </row>
    <row r="36" spans="1:11" ht="15" customHeight="1">
      <c r="A36" s="16" t="s">
        <v>351</v>
      </c>
      <c r="B36" s="27"/>
      <c r="C36" s="27"/>
      <c r="D36" s="27"/>
      <c r="E36" s="27"/>
      <c r="F36" s="27"/>
      <c r="G36" s="27"/>
      <c r="H36" s="27"/>
      <c r="I36" s="27"/>
      <c r="J36" s="25">
        <v>448.56</v>
      </c>
      <c r="K36" s="25">
        <v>327.98</v>
      </c>
    </row>
    <row r="37" spans="1:11" ht="15" customHeight="1">
      <c r="A37" s="18" t="s">
        <v>352</v>
      </c>
      <c r="B37" s="29">
        <v>3991.89</v>
      </c>
      <c r="C37" s="29">
        <v>3401.32</v>
      </c>
      <c r="D37" s="29">
        <v>3272.08</v>
      </c>
      <c r="E37" s="29">
        <v>4089.63</v>
      </c>
      <c r="F37" s="29">
        <v>4727.92</v>
      </c>
      <c r="G37" s="29">
        <v>3173.78</v>
      </c>
      <c r="H37" s="29">
        <v>3261.97</v>
      </c>
      <c r="I37" s="29">
        <v>3911.45</v>
      </c>
      <c r="J37" s="29">
        <v>3961.85</v>
      </c>
      <c r="K37" s="29">
        <v>4207.0600000000004</v>
      </c>
    </row>
    <row r="38" spans="1:11" ht="15" customHeight="1">
      <c r="A38" s="10" t="s">
        <v>353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 spans="1:11" ht="15" customHeight="1">
      <c r="A39" s="12" t="s">
        <v>354</v>
      </c>
      <c r="B39" s="25">
        <v>937.58</v>
      </c>
      <c r="C39" s="25">
        <v>878.14</v>
      </c>
      <c r="D39" s="25">
        <v>842.75</v>
      </c>
      <c r="E39" s="25">
        <v>827.53</v>
      </c>
      <c r="F39" s="25">
        <v>770.17</v>
      </c>
      <c r="G39" s="25">
        <v>738.9</v>
      </c>
      <c r="H39" s="25">
        <v>694.12</v>
      </c>
      <c r="I39" s="25">
        <v>636.4</v>
      </c>
      <c r="J39" s="25">
        <v>687.62</v>
      </c>
      <c r="K39" s="25">
        <v>700.25</v>
      </c>
    </row>
    <row r="40" spans="1:11" ht="15" customHeight="1">
      <c r="A40" s="16" t="s">
        <v>355</v>
      </c>
      <c r="B40" s="25">
        <v>937.58</v>
      </c>
      <c r="C40" s="25">
        <v>878.14</v>
      </c>
      <c r="D40" s="25">
        <v>842.75</v>
      </c>
      <c r="E40" s="25">
        <v>827.53</v>
      </c>
      <c r="F40" s="25">
        <v>770.17</v>
      </c>
      <c r="G40" s="25">
        <v>738.9</v>
      </c>
      <c r="H40" s="25">
        <v>694.12</v>
      </c>
      <c r="I40" s="25">
        <v>636.4</v>
      </c>
      <c r="J40" s="25">
        <v>687.62</v>
      </c>
      <c r="K40" s="25">
        <v>700.25</v>
      </c>
    </row>
    <row r="41" spans="1:11" ht="15" customHeight="1">
      <c r="A41" s="12" t="s">
        <v>356</v>
      </c>
      <c r="B41" s="27">
        <v>59432.54</v>
      </c>
      <c r="C41" s="27">
        <v>51148.22</v>
      </c>
      <c r="D41" s="27">
        <v>49517.53</v>
      </c>
      <c r="E41" s="27">
        <v>44248.06</v>
      </c>
      <c r="F41" s="27">
        <v>42720.61</v>
      </c>
      <c r="G41" s="27">
        <v>41400.67</v>
      </c>
      <c r="H41" s="27">
        <v>40789.629999999997</v>
      </c>
      <c r="I41" s="27">
        <v>35342.629999999997</v>
      </c>
      <c r="J41" s="27">
        <v>39466.74</v>
      </c>
      <c r="K41" s="27">
        <v>51500.45</v>
      </c>
    </row>
    <row r="42" spans="1:11" ht="15" customHeight="1">
      <c r="A42" s="16" t="s">
        <v>357</v>
      </c>
      <c r="B42" s="27">
        <v>59432.54</v>
      </c>
      <c r="C42" s="27">
        <v>51148.22</v>
      </c>
      <c r="D42" s="27">
        <v>49517.53</v>
      </c>
      <c r="E42" s="27">
        <v>44248.06</v>
      </c>
      <c r="F42" s="27">
        <v>42720.61</v>
      </c>
      <c r="G42" s="27">
        <v>41400.67</v>
      </c>
      <c r="H42" s="27">
        <v>40789.629999999997</v>
      </c>
      <c r="I42" s="27">
        <v>35342.629999999997</v>
      </c>
      <c r="J42" s="27">
        <v>39466.74</v>
      </c>
      <c r="K42" s="27">
        <v>51500.45</v>
      </c>
    </row>
    <row r="43" spans="1:11" ht="15" customHeight="1">
      <c r="A43" s="17" t="s">
        <v>358</v>
      </c>
      <c r="B43" s="25">
        <v>3960.25</v>
      </c>
      <c r="C43" s="25">
        <v>2802.64</v>
      </c>
      <c r="D43" s="25">
        <v>2293.85</v>
      </c>
      <c r="E43" s="25">
        <v>1786.45</v>
      </c>
      <c r="F43" s="25">
        <v>2008.79</v>
      </c>
      <c r="G43" s="25">
        <v>1701.17</v>
      </c>
      <c r="H43" s="25">
        <v>1684.17</v>
      </c>
      <c r="I43" s="25">
        <v>1256.44</v>
      </c>
      <c r="J43" s="25">
        <v>1814.39</v>
      </c>
      <c r="K43" s="25">
        <v>3351.81</v>
      </c>
    </row>
    <row r="44" spans="1:11" ht="15" customHeight="1">
      <c r="A44" s="17" t="s">
        <v>359</v>
      </c>
      <c r="B44" s="25">
        <v>327.86</v>
      </c>
      <c r="C44" s="25">
        <v>271.52</v>
      </c>
      <c r="D44" s="25">
        <v>354.98</v>
      </c>
      <c r="E44" s="25">
        <v>352.49</v>
      </c>
      <c r="F44" s="25">
        <v>337.35</v>
      </c>
      <c r="G44" s="25">
        <v>299.98</v>
      </c>
      <c r="H44" s="27"/>
      <c r="I44" s="27"/>
      <c r="J44" s="27"/>
      <c r="K44" s="27"/>
    </row>
    <row r="45" spans="1:11" ht="15" customHeight="1">
      <c r="A45" s="19" t="s">
        <v>360</v>
      </c>
      <c r="B45" s="25">
        <v>327.86</v>
      </c>
      <c r="C45" s="25">
        <v>271.52</v>
      </c>
      <c r="D45" s="25">
        <v>354.98</v>
      </c>
      <c r="E45" s="25">
        <v>352.49</v>
      </c>
      <c r="F45" s="25">
        <v>337.35</v>
      </c>
      <c r="G45" s="25">
        <v>299.98</v>
      </c>
      <c r="H45" s="27"/>
      <c r="I45" s="27"/>
      <c r="J45" s="27"/>
      <c r="K45" s="27"/>
    </row>
    <row r="46" spans="1:11" ht="15" customHeight="1">
      <c r="A46" s="17" t="s">
        <v>361</v>
      </c>
      <c r="B46" s="27">
        <v>55144.42</v>
      </c>
      <c r="C46" s="27">
        <v>48074.05</v>
      </c>
      <c r="D46" s="27">
        <v>46868.7</v>
      </c>
      <c r="E46" s="27">
        <v>42109.120000000003</v>
      </c>
      <c r="F46" s="27">
        <v>40374.47</v>
      </c>
      <c r="G46" s="27">
        <v>39399.519999999997</v>
      </c>
      <c r="H46" s="27">
        <v>39105.46</v>
      </c>
      <c r="I46" s="27">
        <v>34086.19</v>
      </c>
      <c r="J46" s="27">
        <v>37652.35</v>
      </c>
      <c r="K46" s="27">
        <v>48148.65</v>
      </c>
    </row>
    <row r="47" spans="1:11" ht="15" customHeight="1">
      <c r="A47" s="19" t="s">
        <v>362</v>
      </c>
      <c r="B47" s="27">
        <v>55144.42</v>
      </c>
      <c r="C47" s="27">
        <v>48074.05</v>
      </c>
      <c r="D47" s="27">
        <v>46868.7</v>
      </c>
      <c r="E47" s="27">
        <v>42109.120000000003</v>
      </c>
      <c r="F47" s="27">
        <v>40374.47</v>
      </c>
      <c r="G47" s="27">
        <v>39399.519999999997</v>
      </c>
      <c r="H47" s="27">
        <v>39105.46</v>
      </c>
      <c r="I47" s="27">
        <v>34086.19</v>
      </c>
      <c r="J47" s="27">
        <v>37652.35</v>
      </c>
      <c r="K47" s="27">
        <v>48148.65</v>
      </c>
    </row>
    <row r="48" spans="1:11" ht="15" customHeight="1">
      <c r="A48" s="16" t="s">
        <v>363</v>
      </c>
      <c r="B48" s="27">
        <v>80602.78</v>
      </c>
      <c r="C48" s="27">
        <v>69624.990000000005</v>
      </c>
      <c r="D48" s="27">
        <v>67635.25</v>
      </c>
      <c r="E48" s="27">
        <v>60357.67</v>
      </c>
      <c r="F48" s="27">
        <v>57982.6</v>
      </c>
      <c r="G48" s="27">
        <v>56269.64</v>
      </c>
      <c r="H48" s="27">
        <v>55508.04</v>
      </c>
      <c r="I48" s="27">
        <v>47933.46</v>
      </c>
      <c r="J48" s="27">
        <v>60593.47</v>
      </c>
      <c r="K48" s="27">
        <v>72480.38</v>
      </c>
    </row>
    <row r="49" spans="1:11" ht="15" customHeight="1">
      <c r="A49" s="17" t="s">
        <v>364</v>
      </c>
      <c r="B49" s="27">
        <v>80602.78</v>
      </c>
      <c r="C49" s="27">
        <v>69624.990000000005</v>
      </c>
      <c r="D49" s="27">
        <v>67635.25</v>
      </c>
      <c r="E49" s="27">
        <v>60357.67</v>
      </c>
      <c r="F49" s="27">
        <v>57982.6</v>
      </c>
      <c r="G49" s="27">
        <v>56269.64</v>
      </c>
      <c r="H49" s="27">
        <v>55508.04</v>
      </c>
      <c r="I49" s="27">
        <v>47933.46</v>
      </c>
      <c r="J49" s="27">
        <v>60593.47</v>
      </c>
      <c r="K49" s="27">
        <v>72480.38</v>
      </c>
    </row>
    <row r="50" spans="1:11" ht="15" customHeight="1">
      <c r="A50" s="19" t="s">
        <v>365</v>
      </c>
      <c r="B50" s="25">
        <v>3960.25</v>
      </c>
      <c r="C50" s="25">
        <v>2802.64</v>
      </c>
      <c r="D50" s="25">
        <v>2293.85</v>
      </c>
      <c r="E50" s="25">
        <v>1786.45</v>
      </c>
      <c r="F50" s="25">
        <v>2008.79</v>
      </c>
      <c r="G50" s="25">
        <v>1701.17</v>
      </c>
      <c r="H50" s="25">
        <v>1684.17</v>
      </c>
      <c r="I50" s="25">
        <v>1256.44</v>
      </c>
      <c r="J50" s="25">
        <v>1814.39</v>
      </c>
      <c r="K50" s="25">
        <v>3351.81</v>
      </c>
    </row>
    <row r="51" spans="1:11" ht="15" customHeight="1">
      <c r="A51" s="19" t="s">
        <v>366</v>
      </c>
      <c r="B51" s="25">
        <v>578.08000000000004</v>
      </c>
      <c r="C51" s="25">
        <v>455.63</v>
      </c>
      <c r="D51" s="25">
        <v>509.44</v>
      </c>
      <c r="E51" s="25">
        <v>452.3</v>
      </c>
      <c r="F51" s="25">
        <v>402.27</v>
      </c>
      <c r="G51" s="25">
        <v>329.84</v>
      </c>
      <c r="H51" s="27"/>
      <c r="I51" s="27"/>
      <c r="J51" s="27"/>
      <c r="K51" s="27"/>
    </row>
    <row r="52" spans="1:11" ht="15" customHeight="1">
      <c r="A52" s="22" t="s">
        <v>367</v>
      </c>
      <c r="B52" s="25">
        <v>578.08000000000004</v>
      </c>
      <c r="C52" s="25">
        <v>455.63</v>
      </c>
      <c r="D52" s="25">
        <v>509.44</v>
      </c>
      <c r="E52" s="25">
        <v>452.3</v>
      </c>
      <c r="F52" s="25">
        <v>402.27</v>
      </c>
      <c r="G52" s="25">
        <v>329.84</v>
      </c>
      <c r="H52" s="27"/>
      <c r="I52" s="27"/>
      <c r="J52" s="27"/>
      <c r="K52" s="27"/>
    </row>
    <row r="53" spans="1:11" ht="15" customHeight="1">
      <c r="A53" s="19" t="s">
        <v>368</v>
      </c>
      <c r="B53" s="27">
        <v>76064.45</v>
      </c>
      <c r="C53" s="27">
        <v>66366.720000000001</v>
      </c>
      <c r="D53" s="27">
        <v>64831.97</v>
      </c>
      <c r="E53" s="27">
        <v>58118.93</v>
      </c>
      <c r="F53" s="27">
        <v>55571.54</v>
      </c>
      <c r="G53" s="27">
        <v>54238.63</v>
      </c>
      <c r="H53" s="27">
        <v>53823.88</v>
      </c>
      <c r="I53" s="27">
        <v>46677.02</v>
      </c>
      <c r="J53" s="27">
        <v>58779.08</v>
      </c>
      <c r="K53" s="27">
        <v>69128.570000000007</v>
      </c>
    </row>
    <row r="54" spans="1:11" ht="15" customHeight="1">
      <c r="A54" s="22" t="s">
        <v>369</v>
      </c>
      <c r="B54" s="27">
        <v>76064.45</v>
      </c>
      <c r="C54" s="27">
        <v>66366.720000000001</v>
      </c>
      <c r="D54" s="27">
        <v>64831.97</v>
      </c>
      <c r="E54" s="27">
        <v>58118.93</v>
      </c>
      <c r="F54" s="27">
        <v>55571.54</v>
      </c>
      <c r="G54" s="27">
        <v>54238.63</v>
      </c>
      <c r="H54" s="27">
        <v>53823.88</v>
      </c>
      <c r="I54" s="27">
        <v>46677.02</v>
      </c>
      <c r="J54" s="27">
        <v>58779.08</v>
      </c>
      <c r="K54" s="27">
        <v>69128.570000000007</v>
      </c>
    </row>
    <row r="55" spans="1:11" ht="15" customHeight="1">
      <c r="A55" s="16" t="s">
        <v>370</v>
      </c>
      <c r="B55" s="27">
        <v>21170.240000000002</v>
      </c>
      <c r="C55" s="27">
        <v>18476.78</v>
      </c>
      <c r="D55" s="27">
        <v>18117.72</v>
      </c>
      <c r="E55" s="27">
        <v>16109.61</v>
      </c>
      <c r="F55" s="27">
        <v>15262</v>
      </c>
      <c r="G55" s="27">
        <v>14868.97</v>
      </c>
      <c r="H55" s="27">
        <v>14718.41</v>
      </c>
      <c r="I55" s="27">
        <v>12590.83</v>
      </c>
      <c r="J55" s="27">
        <v>21126.73</v>
      </c>
      <c r="K55" s="27">
        <v>20979.919999999998</v>
      </c>
    </row>
    <row r="56" spans="1:11" ht="15" customHeight="1">
      <c r="A56" s="17" t="s">
        <v>371</v>
      </c>
      <c r="B56" s="27">
        <v>21170.240000000002</v>
      </c>
      <c r="C56" s="27">
        <v>18476.78</v>
      </c>
      <c r="D56" s="27">
        <v>18117.72</v>
      </c>
      <c r="E56" s="27">
        <v>16109.61</v>
      </c>
      <c r="F56" s="27">
        <v>15262</v>
      </c>
      <c r="G56" s="27">
        <v>14868.97</v>
      </c>
      <c r="H56" s="27">
        <v>14718.41</v>
      </c>
      <c r="I56" s="27">
        <v>12590.83</v>
      </c>
      <c r="J56" s="27">
        <v>21126.73</v>
      </c>
      <c r="K56" s="27">
        <v>20979.919999999998</v>
      </c>
    </row>
    <row r="57" spans="1:11" ht="15" customHeight="1">
      <c r="A57" s="19" t="s">
        <v>372</v>
      </c>
      <c r="B57" s="25">
        <v>250.21</v>
      </c>
      <c r="C57" s="25">
        <v>184.11</v>
      </c>
      <c r="D57" s="25">
        <v>154.46</v>
      </c>
      <c r="E57" s="26">
        <v>99.81</v>
      </c>
      <c r="F57" s="26">
        <v>64.92</v>
      </c>
      <c r="G57" s="26">
        <v>29.87</v>
      </c>
      <c r="H57" s="27"/>
      <c r="I57" s="27"/>
      <c r="J57" s="27"/>
      <c r="K57" s="27"/>
    </row>
    <row r="58" spans="1:11" ht="15" customHeight="1">
      <c r="A58" s="22" t="s">
        <v>373</v>
      </c>
      <c r="B58" s="25">
        <v>250.21</v>
      </c>
      <c r="C58" s="25">
        <v>184.11</v>
      </c>
      <c r="D58" s="25">
        <v>154.46</v>
      </c>
      <c r="E58" s="26">
        <v>99.81</v>
      </c>
      <c r="F58" s="26">
        <v>64.92</v>
      </c>
      <c r="G58" s="26">
        <v>29.87</v>
      </c>
      <c r="H58" s="27"/>
      <c r="I58" s="27"/>
      <c r="J58" s="27"/>
      <c r="K58" s="27"/>
    </row>
    <row r="59" spans="1:11" ht="15" customHeight="1">
      <c r="A59" s="19" t="s">
        <v>374</v>
      </c>
      <c r="B59" s="27">
        <v>20920.02</v>
      </c>
      <c r="C59" s="27">
        <v>18292.669999999998</v>
      </c>
      <c r="D59" s="27">
        <v>17963.259999999998</v>
      </c>
      <c r="E59" s="27">
        <v>16009.8</v>
      </c>
      <c r="F59" s="27">
        <v>15197.07</v>
      </c>
      <c r="G59" s="27">
        <v>14839.1</v>
      </c>
      <c r="H59" s="27">
        <v>14718.41</v>
      </c>
      <c r="I59" s="27">
        <v>12590.83</v>
      </c>
      <c r="J59" s="27">
        <v>21126.73</v>
      </c>
      <c r="K59" s="27">
        <v>20979.919999999998</v>
      </c>
    </row>
    <row r="60" spans="1:11" ht="15" customHeight="1">
      <c r="A60" s="22" t="s">
        <v>375</v>
      </c>
      <c r="B60" s="27">
        <v>20920.02</v>
      </c>
      <c r="C60" s="27">
        <v>18292.669999999998</v>
      </c>
      <c r="D60" s="27">
        <v>17963.259999999998</v>
      </c>
      <c r="E60" s="27">
        <v>16009.8</v>
      </c>
      <c r="F60" s="27">
        <v>15197.07</v>
      </c>
      <c r="G60" s="27">
        <v>14839.1</v>
      </c>
      <c r="H60" s="27">
        <v>14718.41</v>
      </c>
      <c r="I60" s="27">
        <v>12590.83</v>
      </c>
      <c r="J60" s="27">
        <v>21126.73</v>
      </c>
      <c r="K60" s="27">
        <v>20979.919999999998</v>
      </c>
    </row>
    <row r="61" spans="1:11" ht="15" customHeight="1">
      <c r="A61" s="12" t="s">
        <v>376</v>
      </c>
      <c r="B61" s="27"/>
      <c r="C61" s="27"/>
      <c r="D61" s="27"/>
      <c r="E61" s="27">
        <v>0</v>
      </c>
      <c r="F61" s="26">
        <v>57.29</v>
      </c>
      <c r="G61" s="25">
        <v>1145.3699999999999</v>
      </c>
      <c r="H61" s="27">
        <v>0</v>
      </c>
      <c r="I61" s="25">
        <v>4229.6499999999996</v>
      </c>
      <c r="J61" s="27"/>
      <c r="K61" s="27"/>
    </row>
    <row r="62" spans="1:11" ht="15" customHeight="1">
      <c r="A62" s="12" t="s">
        <v>377</v>
      </c>
      <c r="B62" s="25">
        <v>2398.58</v>
      </c>
      <c r="C62" s="25">
        <v>1723.17</v>
      </c>
      <c r="D62" s="25">
        <v>1227.54</v>
      </c>
      <c r="E62" s="25">
        <v>1135.8</v>
      </c>
      <c r="F62" s="25">
        <v>1082.05</v>
      </c>
      <c r="G62" s="25">
        <v>1073.94</v>
      </c>
      <c r="H62" s="25">
        <v>2100.1</v>
      </c>
      <c r="I62" s="25">
        <v>1960.75</v>
      </c>
      <c r="J62" s="25">
        <v>6125.42</v>
      </c>
      <c r="K62" s="25">
        <v>6803.25</v>
      </c>
    </row>
    <row r="63" spans="1:11" ht="15" customHeight="1">
      <c r="A63" s="16" t="s">
        <v>378</v>
      </c>
      <c r="B63" s="25">
        <v>887.25</v>
      </c>
      <c r="C63" s="25">
        <v>488.74</v>
      </c>
      <c r="D63" s="26">
        <v>44.71</v>
      </c>
      <c r="E63" s="26">
        <v>89.7</v>
      </c>
      <c r="F63" s="25">
        <v>104.39</v>
      </c>
      <c r="G63" s="25">
        <v>128.56</v>
      </c>
      <c r="H63" s="25">
        <v>124.1</v>
      </c>
      <c r="I63" s="26">
        <v>50.31</v>
      </c>
      <c r="J63" s="25">
        <v>1361.8</v>
      </c>
      <c r="K63" s="25">
        <v>1865.5</v>
      </c>
    </row>
    <row r="64" spans="1:11" ht="15" customHeight="1">
      <c r="A64" s="16" t="s">
        <v>379</v>
      </c>
      <c r="B64" s="25">
        <v>1511.34</v>
      </c>
      <c r="C64" s="25">
        <v>1234.43</v>
      </c>
      <c r="D64" s="25">
        <v>1182.83</v>
      </c>
      <c r="E64" s="25">
        <v>1046.0999999999999</v>
      </c>
      <c r="F64" s="25">
        <v>977.66</v>
      </c>
      <c r="G64" s="25">
        <v>945.38</v>
      </c>
      <c r="H64" s="25">
        <v>1976</v>
      </c>
      <c r="I64" s="25">
        <v>1910.45</v>
      </c>
      <c r="J64" s="25">
        <v>4763.62</v>
      </c>
      <c r="K64" s="25">
        <v>4937.76</v>
      </c>
    </row>
    <row r="65" spans="1:11" ht="15" customHeight="1">
      <c r="A65" s="12" t="s">
        <v>380</v>
      </c>
      <c r="B65" s="25">
        <v>8078.68</v>
      </c>
      <c r="C65" s="25">
        <v>7441.04</v>
      </c>
      <c r="D65" s="25">
        <v>7611.83</v>
      </c>
      <c r="E65" s="25">
        <v>7097.78</v>
      </c>
      <c r="F65" s="25">
        <v>7244.64</v>
      </c>
      <c r="G65" s="25">
        <v>7399.42</v>
      </c>
      <c r="H65" s="25">
        <v>7788.09</v>
      </c>
      <c r="I65" s="25">
        <v>7065.76</v>
      </c>
      <c r="J65" s="25">
        <v>7706.13</v>
      </c>
      <c r="K65" s="25">
        <v>8881.8700000000008</v>
      </c>
    </row>
    <row r="66" spans="1:11" ht="15" customHeight="1">
      <c r="A66" s="16" t="s">
        <v>381</v>
      </c>
      <c r="B66" s="25">
        <v>8078.68</v>
      </c>
      <c r="C66" s="25">
        <v>7441.04</v>
      </c>
      <c r="D66" s="25">
        <v>7611.83</v>
      </c>
      <c r="E66" s="25">
        <v>7097.78</v>
      </c>
      <c r="F66" s="25">
        <v>7151.71</v>
      </c>
      <c r="G66" s="25">
        <v>7295.53</v>
      </c>
      <c r="H66" s="25">
        <v>7661.27</v>
      </c>
      <c r="I66" s="25">
        <v>7065.76</v>
      </c>
      <c r="J66" s="25">
        <v>7544.97</v>
      </c>
      <c r="K66" s="25">
        <v>8881.8700000000008</v>
      </c>
    </row>
    <row r="67" spans="1:11" ht="15" customHeight="1">
      <c r="A67" s="16" t="s">
        <v>382</v>
      </c>
      <c r="B67" s="27"/>
      <c r="C67" s="27"/>
      <c r="D67" s="27"/>
      <c r="E67" s="27"/>
      <c r="F67" s="26">
        <v>92.93</v>
      </c>
      <c r="G67" s="25">
        <v>103.89</v>
      </c>
      <c r="H67" s="25">
        <v>126.82</v>
      </c>
      <c r="I67" s="27"/>
      <c r="J67" s="25">
        <v>161.16</v>
      </c>
      <c r="K67" s="27"/>
    </row>
    <row r="68" spans="1:11" ht="15" customHeight="1">
      <c r="A68" s="17" t="s">
        <v>383</v>
      </c>
      <c r="B68" s="27"/>
      <c r="C68" s="27"/>
      <c r="D68" s="27"/>
      <c r="E68" s="27"/>
      <c r="F68" s="26">
        <v>92.93</v>
      </c>
      <c r="G68" s="25">
        <v>103.89</v>
      </c>
      <c r="H68" s="25">
        <v>120.01</v>
      </c>
      <c r="I68" s="27"/>
      <c r="J68" s="25">
        <v>153.1</v>
      </c>
      <c r="K68" s="27"/>
    </row>
    <row r="69" spans="1:11" ht="15" customHeight="1">
      <c r="A69" s="17" t="s">
        <v>384</v>
      </c>
      <c r="B69" s="27"/>
      <c r="C69" s="27"/>
      <c r="D69" s="27"/>
      <c r="E69" s="27"/>
      <c r="F69" s="27"/>
      <c r="G69" s="27"/>
      <c r="H69" s="26">
        <v>6.82</v>
      </c>
      <c r="I69" s="27"/>
      <c r="J69" s="26">
        <v>8.06</v>
      </c>
      <c r="K69" s="27"/>
    </row>
    <row r="70" spans="1:11" ht="15" customHeight="1">
      <c r="A70" s="18" t="s">
        <v>385</v>
      </c>
      <c r="B70" s="28">
        <v>70847.38</v>
      </c>
      <c r="C70" s="28">
        <v>61190.58</v>
      </c>
      <c r="D70" s="28">
        <v>59199.65</v>
      </c>
      <c r="E70" s="28">
        <v>53309.16</v>
      </c>
      <c r="F70" s="28">
        <v>51874.75</v>
      </c>
      <c r="G70" s="28">
        <v>51758.3</v>
      </c>
      <c r="H70" s="28">
        <v>51371.94</v>
      </c>
      <c r="I70" s="28">
        <v>49235.18</v>
      </c>
      <c r="J70" s="28">
        <v>53985.91</v>
      </c>
      <c r="K70" s="28">
        <v>67885.83</v>
      </c>
    </row>
    <row r="71" spans="1:11" ht="15" customHeight="1">
      <c r="A71" s="10" t="s">
        <v>386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ht="15" customHeight="1">
      <c r="A72" s="18" t="s">
        <v>386</v>
      </c>
      <c r="B72" s="28">
        <v>74839.27</v>
      </c>
      <c r="C72" s="28">
        <v>64591.89</v>
      </c>
      <c r="D72" s="28">
        <v>62471.73</v>
      </c>
      <c r="E72" s="28">
        <v>57398.79</v>
      </c>
      <c r="F72" s="28">
        <v>56602.67</v>
      </c>
      <c r="G72" s="28">
        <v>54932.08</v>
      </c>
      <c r="H72" s="28">
        <v>54633.91</v>
      </c>
      <c r="I72" s="28">
        <v>53146.63</v>
      </c>
      <c r="J72" s="28">
        <v>57947.76</v>
      </c>
      <c r="K72" s="28">
        <v>72092.89</v>
      </c>
    </row>
    <row r="73" spans="1:11" ht="15" customHeight="1">
      <c r="A73" s="10" t="s">
        <v>387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ht="15" customHeight="1">
      <c r="A74" s="12" t="s">
        <v>388</v>
      </c>
      <c r="B74" s="25">
        <v>2946.46</v>
      </c>
      <c r="C74" s="25">
        <v>2593.37</v>
      </c>
      <c r="D74" s="25">
        <v>2749.09</v>
      </c>
      <c r="E74" s="25">
        <v>1944.37</v>
      </c>
      <c r="F74" s="25">
        <v>1856.03</v>
      </c>
      <c r="G74" s="25">
        <v>1963.48</v>
      </c>
      <c r="H74" s="25">
        <v>1749.63</v>
      </c>
      <c r="I74" s="25">
        <v>1363.35</v>
      </c>
      <c r="J74" s="25">
        <v>1888.26</v>
      </c>
      <c r="K74" s="25">
        <v>1949.92</v>
      </c>
    </row>
    <row r="75" spans="1:11" ht="15" customHeight="1">
      <c r="A75" s="16" t="s">
        <v>389</v>
      </c>
      <c r="B75" s="25">
        <v>2264.85</v>
      </c>
      <c r="C75" s="25">
        <v>1803.97</v>
      </c>
      <c r="D75" s="25">
        <v>2036.41</v>
      </c>
      <c r="E75" s="25">
        <v>1191.3900000000001</v>
      </c>
      <c r="F75" s="25">
        <v>1052.77</v>
      </c>
      <c r="G75" s="25">
        <v>1305.0899999999999</v>
      </c>
      <c r="H75" s="25">
        <v>1315.97</v>
      </c>
      <c r="I75" s="25">
        <v>1040.1199999999999</v>
      </c>
      <c r="J75" s="25">
        <v>1400.75</v>
      </c>
      <c r="K75" s="25">
        <v>1487.69</v>
      </c>
    </row>
    <row r="76" spans="1:11" ht="15" customHeight="1">
      <c r="A76" s="16" t="s">
        <v>390</v>
      </c>
      <c r="B76" s="25">
        <v>681.61</v>
      </c>
      <c r="C76" s="25">
        <v>789.4</v>
      </c>
      <c r="D76" s="25">
        <v>712.68</v>
      </c>
      <c r="E76" s="25">
        <v>752.99</v>
      </c>
      <c r="F76" s="25">
        <v>803.26</v>
      </c>
      <c r="G76" s="25">
        <v>658.39</v>
      </c>
      <c r="H76" s="25">
        <v>433.66</v>
      </c>
      <c r="I76" s="25">
        <v>323.23</v>
      </c>
      <c r="J76" s="25">
        <v>487.51</v>
      </c>
      <c r="K76" s="25">
        <v>462.22</v>
      </c>
    </row>
    <row r="77" spans="1:11" ht="15" customHeight="1">
      <c r="A77" s="12" t="s">
        <v>391</v>
      </c>
      <c r="B77" s="25">
        <v>2195.83</v>
      </c>
      <c r="C77" s="25">
        <v>2682.11</v>
      </c>
      <c r="D77" s="25">
        <v>611.05999999999995</v>
      </c>
      <c r="E77" s="25">
        <v>2029.02</v>
      </c>
      <c r="F77" s="25">
        <v>2986.46</v>
      </c>
      <c r="G77" s="25">
        <v>1792.07</v>
      </c>
      <c r="H77" s="25">
        <v>2390.5700000000002</v>
      </c>
      <c r="I77" s="25">
        <v>1079.1099999999999</v>
      </c>
      <c r="J77" s="25">
        <v>5855.48</v>
      </c>
      <c r="K77" s="25">
        <v>3977.33</v>
      </c>
    </row>
    <row r="78" spans="1:11" ht="15" customHeight="1">
      <c r="A78" s="16" t="s">
        <v>392</v>
      </c>
      <c r="B78" s="25">
        <v>790.9</v>
      </c>
      <c r="C78" s="25">
        <v>1026.49</v>
      </c>
      <c r="D78" s="25">
        <v>135.49</v>
      </c>
      <c r="E78" s="27">
        <v>0</v>
      </c>
      <c r="F78" s="25">
        <v>2800.6</v>
      </c>
      <c r="G78" s="25">
        <v>1298.5999999999999</v>
      </c>
      <c r="H78" s="25">
        <v>1704.63</v>
      </c>
      <c r="I78" s="25">
        <v>377.31</v>
      </c>
      <c r="J78" s="25">
        <v>3592.53</v>
      </c>
      <c r="K78" s="25">
        <v>2363.6999999999998</v>
      </c>
    </row>
    <row r="79" spans="1:11" ht="15" customHeight="1">
      <c r="A79" s="16" t="s">
        <v>393</v>
      </c>
      <c r="B79" s="25">
        <v>1404.93</v>
      </c>
      <c r="C79" s="25">
        <v>1655.63</v>
      </c>
      <c r="D79" s="25">
        <v>475.57</v>
      </c>
      <c r="E79" s="25">
        <v>2029.02</v>
      </c>
      <c r="F79" s="25">
        <v>185.86</v>
      </c>
      <c r="G79" s="25">
        <v>493.47</v>
      </c>
      <c r="H79" s="25">
        <v>685.94</v>
      </c>
      <c r="I79" s="25">
        <v>701.8</v>
      </c>
      <c r="J79" s="25">
        <v>2262.96</v>
      </c>
      <c r="K79" s="25">
        <v>1613.63</v>
      </c>
    </row>
    <row r="80" spans="1:11" ht="15" customHeight="1">
      <c r="A80" s="17" t="s">
        <v>394</v>
      </c>
      <c r="B80" s="25">
        <v>1400.61</v>
      </c>
      <c r="C80" s="25">
        <v>1651.65</v>
      </c>
      <c r="D80" s="25">
        <v>467.44</v>
      </c>
      <c r="E80" s="25">
        <v>2012.6</v>
      </c>
      <c r="F80" s="25">
        <v>168.04</v>
      </c>
      <c r="G80" s="25">
        <v>473.99</v>
      </c>
      <c r="H80" s="25">
        <v>661.39</v>
      </c>
      <c r="I80" s="27"/>
      <c r="J80" s="25">
        <v>2224.0100000000002</v>
      </c>
      <c r="K80" s="27"/>
    </row>
    <row r="81" spans="1:11" ht="15" customHeight="1">
      <c r="A81" s="17" t="s">
        <v>395</v>
      </c>
      <c r="B81" s="26">
        <v>4.3099999999999996</v>
      </c>
      <c r="C81" s="26">
        <v>3.97</v>
      </c>
      <c r="D81" s="26">
        <v>8.1300000000000008</v>
      </c>
      <c r="E81" s="26">
        <v>16.420000000000002</v>
      </c>
      <c r="F81" s="26">
        <v>17.82</v>
      </c>
      <c r="G81" s="26">
        <v>19.48</v>
      </c>
      <c r="H81" s="26">
        <v>24.55</v>
      </c>
      <c r="I81" s="27"/>
      <c r="J81" s="26">
        <v>38.950000000000003</v>
      </c>
      <c r="K81" s="27"/>
    </row>
    <row r="82" spans="1:11" ht="15" customHeight="1">
      <c r="A82" s="12" t="s">
        <v>396</v>
      </c>
      <c r="B82" s="27"/>
      <c r="C82" s="27"/>
      <c r="D82" s="27"/>
      <c r="E82" s="27"/>
      <c r="F82" s="27"/>
      <c r="G82" s="27"/>
      <c r="H82" s="27"/>
      <c r="I82" s="27"/>
      <c r="J82" s="25">
        <v>104.75</v>
      </c>
      <c r="K82" s="25">
        <v>146.69</v>
      </c>
    </row>
    <row r="83" spans="1:11" ht="15" customHeight="1">
      <c r="A83" s="12" t="s">
        <v>397</v>
      </c>
      <c r="B83" s="27"/>
      <c r="C83" s="27"/>
      <c r="D83" s="27"/>
      <c r="E83" s="27"/>
      <c r="F83" s="27"/>
      <c r="G83" s="27"/>
      <c r="H83" s="27">
        <v>0</v>
      </c>
      <c r="I83" s="25">
        <v>1230.03</v>
      </c>
      <c r="J83" s="27"/>
      <c r="K83" s="27"/>
    </row>
    <row r="84" spans="1:11" ht="15" customHeight="1">
      <c r="A84" s="12" t="s">
        <v>398</v>
      </c>
      <c r="B84" s="25">
        <v>1045.43</v>
      </c>
      <c r="C84" s="25">
        <v>927.15</v>
      </c>
      <c r="D84" s="25">
        <v>905.07</v>
      </c>
      <c r="E84" s="25">
        <v>817.42</v>
      </c>
      <c r="F84" s="25">
        <v>814.72</v>
      </c>
      <c r="G84" s="25">
        <v>707.74</v>
      </c>
      <c r="H84" s="25">
        <v>726.85</v>
      </c>
      <c r="I84" s="25">
        <v>670.35</v>
      </c>
      <c r="J84" s="25">
        <v>778.94</v>
      </c>
      <c r="K84" s="25">
        <v>718.24</v>
      </c>
    </row>
    <row r="85" spans="1:11" ht="15" customHeight="1">
      <c r="A85" s="12" t="s">
        <v>399</v>
      </c>
      <c r="B85" s="25">
        <v>352.31</v>
      </c>
      <c r="C85" s="25">
        <v>311.26</v>
      </c>
      <c r="D85" s="25">
        <v>302.14</v>
      </c>
      <c r="E85" s="25">
        <v>280.47000000000003</v>
      </c>
      <c r="F85" s="27"/>
      <c r="G85" s="27"/>
      <c r="H85" s="27"/>
      <c r="I85" s="27"/>
      <c r="J85" s="27"/>
      <c r="K85" s="27"/>
    </row>
    <row r="86" spans="1:11" ht="15" customHeight="1">
      <c r="A86" s="12" t="s">
        <v>400</v>
      </c>
      <c r="B86" s="26">
        <v>73.34</v>
      </c>
      <c r="C86" s="26">
        <v>62.25</v>
      </c>
      <c r="D86" s="26">
        <v>65.040000000000006</v>
      </c>
      <c r="E86" s="26">
        <v>49.27</v>
      </c>
      <c r="F86" s="26">
        <v>53.47</v>
      </c>
      <c r="G86" s="26">
        <v>41.56</v>
      </c>
      <c r="H86" s="27"/>
      <c r="I86" s="27"/>
      <c r="J86" s="27"/>
      <c r="K86" s="27"/>
    </row>
    <row r="87" spans="1:11" ht="15" customHeight="1">
      <c r="A87" s="12" t="s">
        <v>401</v>
      </c>
      <c r="B87" s="25">
        <v>572.32000000000005</v>
      </c>
      <c r="C87" s="25">
        <v>557.61</v>
      </c>
      <c r="D87" s="25">
        <v>730.29</v>
      </c>
      <c r="E87" s="25">
        <v>458.61</v>
      </c>
      <c r="F87" s="25">
        <v>659.41</v>
      </c>
      <c r="G87" s="25">
        <v>1808.95</v>
      </c>
      <c r="H87" s="25">
        <v>1452.34</v>
      </c>
      <c r="I87" s="25">
        <v>830.08</v>
      </c>
      <c r="J87" s="25">
        <v>942.79</v>
      </c>
      <c r="K87" s="25">
        <v>960.43</v>
      </c>
    </row>
    <row r="88" spans="1:11" ht="15" customHeight="1">
      <c r="A88" s="16" t="s">
        <v>402</v>
      </c>
      <c r="B88" s="25">
        <v>335.05</v>
      </c>
      <c r="C88" s="25">
        <v>300.66000000000003</v>
      </c>
      <c r="D88" s="25">
        <v>302.14</v>
      </c>
      <c r="E88" s="27"/>
      <c r="F88" s="27"/>
      <c r="G88" s="27"/>
      <c r="H88" s="27"/>
      <c r="I88" s="27"/>
      <c r="J88" s="27"/>
      <c r="K88" s="27"/>
    </row>
    <row r="89" spans="1:11" ht="15" customHeight="1">
      <c r="A89" s="16" t="s">
        <v>403</v>
      </c>
      <c r="B89" s="25">
        <v>237.27</v>
      </c>
      <c r="C89" s="25">
        <v>256.95</v>
      </c>
      <c r="D89" s="25">
        <v>428.15</v>
      </c>
      <c r="E89" s="25">
        <v>458.61</v>
      </c>
      <c r="F89" s="25">
        <v>659.41</v>
      </c>
      <c r="G89" s="25">
        <v>1808.95</v>
      </c>
      <c r="H89" s="25">
        <v>1452.34</v>
      </c>
      <c r="I89" s="25">
        <v>830.08</v>
      </c>
      <c r="J89" s="25">
        <v>942.79</v>
      </c>
      <c r="K89" s="25">
        <v>960.43</v>
      </c>
    </row>
    <row r="90" spans="1:11" ht="15" customHeight="1">
      <c r="A90" s="18" t="s">
        <v>404</v>
      </c>
      <c r="B90" s="29">
        <v>7185.69</v>
      </c>
      <c r="C90" s="29">
        <v>7133.76</v>
      </c>
      <c r="D90" s="29">
        <v>5362.69</v>
      </c>
      <c r="E90" s="29">
        <v>5579.17</v>
      </c>
      <c r="F90" s="29">
        <v>6370.09</v>
      </c>
      <c r="G90" s="29">
        <v>6313.79</v>
      </c>
      <c r="H90" s="29">
        <v>6319.39</v>
      </c>
      <c r="I90" s="29">
        <v>5172.92</v>
      </c>
      <c r="J90" s="29">
        <v>9570.2199999999993</v>
      </c>
      <c r="K90" s="29">
        <v>7752.61</v>
      </c>
    </row>
    <row r="91" spans="1:11" ht="15" customHeight="1">
      <c r="A91" s="10" t="s">
        <v>405</v>
      </c>
      <c r="B91" s="11"/>
      <c r="C91" s="11"/>
      <c r="D91" s="11"/>
      <c r="E91" s="11"/>
      <c r="F91" s="11"/>
      <c r="G91" s="11"/>
      <c r="H91" s="11"/>
      <c r="I91" s="11"/>
      <c r="J91" s="11"/>
      <c r="K91" s="11"/>
    </row>
    <row r="92" spans="1:11" ht="15" customHeight="1">
      <c r="A92" s="12" t="s">
        <v>406</v>
      </c>
      <c r="B92" s="27">
        <v>32349.25</v>
      </c>
      <c r="C92" s="27">
        <v>30311.18</v>
      </c>
      <c r="D92" s="27">
        <v>28727.94</v>
      </c>
      <c r="E92" s="27">
        <v>28108.12</v>
      </c>
      <c r="F92" s="27">
        <v>28172.76</v>
      </c>
      <c r="G92" s="27">
        <v>25475.93</v>
      </c>
      <c r="H92" s="27">
        <v>24207.040000000001</v>
      </c>
      <c r="I92" s="27">
        <v>23502.639999999999</v>
      </c>
      <c r="J92" s="27">
        <v>24431.86</v>
      </c>
      <c r="K92" s="27">
        <v>26431.11</v>
      </c>
    </row>
    <row r="93" spans="1:11" ht="15" customHeight="1">
      <c r="A93" s="16" t="s">
        <v>407</v>
      </c>
      <c r="B93" s="27">
        <v>32336.31</v>
      </c>
      <c r="C93" s="27">
        <v>30296.61</v>
      </c>
      <c r="D93" s="27">
        <v>28704.91</v>
      </c>
      <c r="E93" s="27">
        <v>28079.07</v>
      </c>
      <c r="F93" s="27">
        <v>28133.3</v>
      </c>
      <c r="G93" s="27">
        <v>25417.5</v>
      </c>
      <c r="H93" s="27">
        <v>24132.04</v>
      </c>
      <c r="I93" s="27">
        <v>23502.639999999999</v>
      </c>
      <c r="J93" s="27">
        <v>24331.13</v>
      </c>
      <c r="K93" s="27">
        <v>26248.43</v>
      </c>
    </row>
    <row r="94" spans="1:11" ht="15" customHeight="1">
      <c r="A94" s="17" t="s">
        <v>408</v>
      </c>
      <c r="B94" s="27">
        <v>32336.31</v>
      </c>
      <c r="C94" s="27">
        <v>30296.61</v>
      </c>
      <c r="D94" s="27">
        <v>28704.91</v>
      </c>
      <c r="E94" s="27">
        <v>28079.07</v>
      </c>
      <c r="F94" s="27">
        <v>28133.3</v>
      </c>
      <c r="G94" s="27">
        <v>25417.5</v>
      </c>
      <c r="H94" s="27">
        <v>24132.04</v>
      </c>
      <c r="I94" s="27">
        <v>23502.639999999999</v>
      </c>
      <c r="J94" s="27">
        <v>24331.13</v>
      </c>
      <c r="K94" s="27">
        <v>26248.43</v>
      </c>
    </row>
    <row r="95" spans="1:11" ht="15" customHeight="1">
      <c r="A95" s="16" t="s">
        <v>409</v>
      </c>
      <c r="B95" s="26">
        <v>12.94</v>
      </c>
      <c r="C95" s="26">
        <v>14.57</v>
      </c>
      <c r="D95" s="26">
        <v>23.03</v>
      </c>
      <c r="E95" s="26">
        <v>29.06</v>
      </c>
      <c r="F95" s="26">
        <v>39.46</v>
      </c>
      <c r="G95" s="26">
        <v>58.44</v>
      </c>
      <c r="H95" s="26">
        <v>75</v>
      </c>
      <c r="I95" s="27"/>
      <c r="J95" s="25">
        <v>100.73</v>
      </c>
      <c r="K95" s="25">
        <v>182.67</v>
      </c>
    </row>
    <row r="96" spans="1:11" ht="15" customHeight="1">
      <c r="A96" s="12" t="s">
        <v>410</v>
      </c>
      <c r="B96" s="27"/>
      <c r="C96" s="27"/>
      <c r="D96" s="27"/>
      <c r="E96" s="27"/>
      <c r="F96" s="27">
        <v>0</v>
      </c>
      <c r="G96" s="25">
        <v>897.33</v>
      </c>
      <c r="H96" s="27">
        <v>0</v>
      </c>
      <c r="I96" s="25">
        <v>4437.17</v>
      </c>
      <c r="J96" s="27"/>
      <c r="K96" s="27"/>
    </row>
    <row r="97" spans="1:11" ht="15" customHeight="1">
      <c r="A97" s="12" t="s">
        <v>411</v>
      </c>
      <c r="B97" s="25">
        <v>8071.49</v>
      </c>
      <c r="C97" s="25">
        <v>5999.99</v>
      </c>
      <c r="D97" s="25">
        <v>5693.29</v>
      </c>
      <c r="E97" s="25">
        <v>4342.3100000000004</v>
      </c>
      <c r="F97" s="25">
        <v>3939.94</v>
      </c>
      <c r="G97" s="25">
        <v>3699.71</v>
      </c>
      <c r="H97" s="25">
        <v>3411.98</v>
      </c>
      <c r="I97" s="25">
        <v>3988.17</v>
      </c>
      <c r="J97" s="25">
        <v>5056.3999999999996</v>
      </c>
      <c r="K97" s="25">
        <v>9373.15</v>
      </c>
    </row>
    <row r="98" spans="1:11" ht="15" customHeight="1">
      <c r="A98" s="16" t="s">
        <v>412</v>
      </c>
      <c r="B98" s="25">
        <v>8071.49</v>
      </c>
      <c r="C98" s="25">
        <v>5999.99</v>
      </c>
      <c r="D98" s="25">
        <v>5693.29</v>
      </c>
      <c r="E98" s="25">
        <v>4342.3100000000004</v>
      </c>
      <c r="F98" s="25">
        <v>3939.94</v>
      </c>
      <c r="G98" s="25">
        <v>3699.71</v>
      </c>
      <c r="H98" s="25">
        <v>3411.98</v>
      </c>
      <c r="I98" s="25">
        <v>3988.17</v>
      </c>
      <c r="J98" s="25">
        <v>5056.3999999999996</v>
      </c>
      <c r="K98" s="25">
        <v>9373.15</v>
      </c>
    </row>
    <row r="99" spans="1:11" ht="15" customHeight="1">
      <c r="A99" s="12" t="s">
        <v>413</v>
      </c>
      <c r="B99" s="25">
        <v>276.10000000000002</v>
      </c>
      <c r="C99" s="25">
        <v>237.09</v>
      </c>
      <c r="D99" s="25">
        <v>334.66</v>
      </c>
      <c r="E99" s="25">
        <v>342.38</v>
      </c>
      <c r="F99" s="25">
        <v>334.8</v>
      </c>
      <c r="G99" s="25">
        <v>312.95999999999998</v>
      </c>
      <c r="H99" s="27"/>
      <c r="I99" s="27"/>
      <c r="J99" s="27"/>
      <c r="K99" s="27"/>
    </row>
    <row r="100" spans="1:11" ht="15" customHeight="1">
      <c r="A100" s="12" t="s">
        <v>414</v>
      </c>
      <c r="B100" s="25">
        <v>7227.39</v>
      </c>
      <c r="C100" s="25">
        <v>6451.64</v>
      </c>
      <c r="D100" s="25">
        <v>7932.94</v>
      </c>
      <c r="E100" s="25">
        <v>8066.81</v>
      </c>
      <c r="F100" s="25">
        <v>8572.3799999999992</v>
      </c>
      <c r="G100" s="25">
        <v>9174.61</v>
      </c>
      <c r="H100" s="27">
        <v>11403.26</v>
      </c>
      <c r="I100" s="27">
        <v>11109.26</v>
      </c>
      <c r="J100" s="27">
        <v>10507.63</v>
      </c>
      <c r="K100" s="27">
        <v>11345.21</v>
      </c>
    </row>
    <row r="101" spans="1:11" ht="15" customHeight="1">
      <c r="A101" s="16" t="s">
        <v>415</v>
      </c>
      <c r="B101" s="25">
        <v>2441.7199999999998</v>
      </c>
      <c r="C101" s="25">
        <v>2202.64</v>
      </c>
      <c r="D101" s="25">
        <v>3163.69</v>
      </c>
      <c r="E101" s="25">
        <v>3372.01</v>
      </c>
      <c r="F101" s="25">
        <v>4460.59</v>
      </c>
      <c r="G101" s="25">
        <v>4194.4799999999996</v>
      </c>
      <c r="H101" s="25">
        <v>5070.24</v>
      </c>
      <c r="I101" s="25">
        <v>5716.25</v>
      </c>
      <c r="J101" s="25">
        <v>6984.94</v>
      </c>
      <c r="K101" s="25">
        <v>7825.95</v>
      </c>
    </row>
    <row r="102" spans="1:11" ht="15" customHeight="1">
      <c r="A102" s="17" t="s">
        <v>416</v>
      </c>
      <c r="B102" s="25">
        <v>2441.7199999999998</v>
      </c>
      <c r="C102" s="25">
        <v>2202.64</v>
      </c>
      <c r="D102" s="25">
        <v>3163.69</v>
      </c>
      <c r="E102" s="25">
        <v>3372.01</v>
      </c>
      <c r="F102" s="25">
        <v>4258.1899999999996</v>
      </c>
      <c r="G102" s="25">
        <v>3980.21</v>
      </c>
      <c r="H102" s="25">
        <v>3962.91</v>
      </c>
      <c r="I102" s="25">
        <v>4999.3599999999997</v>
      </c>
      <c r="J102" s="25">
        <v>4994.62</v>
      </c>
      <c r="K102" s="25">
        <v>5874.66</v>
      </c>
    </row>
    <row r="103" spans="1:11" ht="15" customHeight="1">
      <c r="A103" s="17" t="s">
        <v>417</v>
      </c>
      <c r="B103" s="27"/>
      <c r="C103" s="27"/>
      <c r="D103" s="27"/>
      <c r="E103" s="27"/>
      <c r="F103" s="25">
        <v>202.41</v>
      </c>
      <c r="G103" s="25">
        <v>214.27</v>
      </c>
      <c r="H103" s="25">
        <v>1107.32</v>
      </c>
      <c r="I103" s="25">
        <v>716.89</v>
      </c>
      <c r="J103" s="25">
        <v>1990.33</v>
      </c>
      <c r="K103" s="25">
        <v>1951.3</v>
      </c>
    </row>
    <row r="104" spans="1:11" ht="15" customHeight="1">
      <c r="A104" s="16" t="s">
        <v>418</v>
      </c>
      <c r="B104" s="27"/>
      <c r="C104" s="27"/>
      <c r="D104" s="27"/>
      <c r="E104" s="27"/>
      <c r="F104" s="27"/>
      <c r="G104" s="27"/>
      <c r="H104" s="27"/>
      <c r="I104" s="27"/>
      <c r="J104" s="25">
        <v>1016.65</v>
      </c>
      <c r="K104" s="25">
        <v>1094.6600000000001</v>
      </c>
    </row>
    <row r="105" spans="1:11" ht="15" customHeight="1">
      <c r="A105" s="16" t="s">
        <v>419</v>
      </c>
      <c r="B105" s="25">
        <v>1430.81</v>
      </c>
      <c r="C105" s="25">
        <v>1607.94</v>
      </c>
      <c r="D105" s="25">
        <v>2502.5</v>
      </c>
      <c r="E105" s="25">
        <v>2683.46</v>
      </c>
      <c r="F105" s="25">
        <v>2324.5</v>
      </c>
      <c r="G105" s="25">
        <v>3064.7</v>
      </c>
      <c r="H105" s="25">
        <v>3406.52</v>
      </c>
      <c r="I105" s="25">
        <v>3420.94</v>
      </c>
      <c r="J105" s="27"/>
      <c r="K105" s="27"/>
    </row>
    <row r="106" spans="1:11" ht="15" customHeight="1">
      <c r="A106" s="16" t="s">
        <v>420</v>
      </c>
      <c r="B106" s="25">
        <v>3354.85</v>
      </c>
      <c r="C106" s="25">
        <v>2641.05</v>
      </c>
      <c r="D106" s="25">
        <v>2266.75</v>
      </c>
      <c r="E106" s="25">
        <v>2011.33</v>
      </c>
      <c r="F106" s="25">
        <v>1787.29</v>
      </c>
      <c r="G106" s="25">
        <v>1915.44</v>
      </c>
      <c r="H106" s="25">
        <v>2926.5</v>
      </c>
      <c r="I106" s="25">
        <v>1972.07</v>
      </c>
      <c r="J106" s="25">
        <v>2506.04</v>
      </c>
      <c r="K106" s="25">
        <v>2424.59</v>
      </c>
    </row>
    <row r="107" spans="1:11" ht="15" customHeight="1">
      <c r="A107" s="12" t="s">
        <v>421</v>
      </c>
      <c r="B107" s="27">
        <v>47924.23</v>
      </c>
      <c r="C107" s="27">
        <v>42999.89</v>
      </c>
      <c r="D107" s="27">
        <v>42688.83</v>
      </c>
      <c r="E107" s="27">
        <v>40859.620000000003</v>
      </c>
      <c r="F107" s="27">
        <v>41019.879999999997</v>
      </c>
      <c r="G107" s="27">
        <v>39560.550000000003</v>
      </c>
      <c r="H107" s="27">
        <v>39022.28</v>
      </c>
      <c r="I107" s="27">
        <v>43037.24</v>
      </c>
      <c r="J107" s="27">
        <v>39995.879999999997</v>
      </c>
      <c r="K107" s="27">
        <v>47149.47</v>
      </c>
    </row>
    <row r="108" spans="1:11" ht="15" customHeight="1">
      <c r="A108" s="10" t="s">
        <v>422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/>
    </row>
    <row r="109" spans="1:11" ht="15" customHeight="1">
      <c r="A109" s="18" t="s">
        <v>422</v>
      </c>
      <c r="B109" s="28">
        <v>55109.91</v>
      </c>
      <c r="C109" s="28">
        <v>50133.65</v>
      </c>
      <c r="D109" s="28">
        <v>48051.53</v>
      </c>
      <c r="E109" s="28">
        <v>46438.79</v>
      </c>
      <c r="F109" s="28">
        <v>47389.97</v>
      </c>
      <c r="G109" s="28">
        <v>45874.34</v>
      </c>
      <c r="H109" s="28">
        <v>45341.66</v>
      </c>
      <c r="I109" s="28">
        <v>48210.16</v>
      </c>
      <c r="J109" s="28">
        <v>49566.1</v>
      </c>
      <c r="K109" s="28">
        <v>54902.080000000002</v>
      </c>
    </row>
    <row r="110" spans="1:11" ht="15" customHeight="1">
      <c r="A110" s="10" t="s">
        <v>423</v>
      </c>
      <c r="B110" s="11"/>
      <c r="C110" s="11"/>
      <c r="D110" s="11"/>
      <c r="E110" s="11"/>
      <c r="F110" s="11"/>
      <c r="G110" s="11"/>
      <c r="H110" s="11"/>
      <c r="I110" s="11"/>
      <c r="J110" s="11"/>
      <c r="K110" s="11"/>
    </row>
    <row r="111" spans="1:11" ht="15" customHeight="1">
      <c r="A111" s="12" t="s">
        <v>424</v>
      </c>
      <c r="B111" s="27">
        <v>17910.29</v>
      </c>
      <c r="C111" s="27">
        <v>13823.81</v>
      </c>
      <c r="D111" s="27">
        <v>13773.91</v>
      </c>
      <c r="E111" s="27">
        <v>10960</v>
      </c>
      <c r="F111" s="25">
        <v>9212.7000000000007</v>
      </c>
      <c r="G111" s="25">
        <v>9057.74</v>
      </c>
      <c r="H111" s="25">
        <v>9292.25</v>
      </c>
      <c r="I111" s="25">
        <v>4936.47</v>
      </c>
      <c r="J111" s="25">
        <v>8381.66</v>
      </c>
      <c r="K111" s="27">
        <v>17189.419999999998</v>
      </c>
    </row>
    <row r="112" spans="1:11" ht="15" customHeight="1">
      <c r="A112" s="16" t="s">
        <v>425</v>
      </c>
      <c r="B112" s="27"/>
      <c r="C112" s="27"/>
      <c r="D112" s="27"/>
      <c r="E112" s="27"/>
      <c r="F112" s="27"/>
      <c r="G112" s="27">
        <v>0</v>
      </c>
      <c r="H112" s="26">
        <v>96.82</v>
      </c>
      <c r="I112" s="27">
        <v>0</v>
      </c>
      <c r="J112" s="27"/>
      <c r="K112" s="27"/>
    </row>
    <row r="113" spans="1:11" ht="15" customHeight="1">
      <c r="A113" s="17" t="s">
        <v>426</v>
      </c>
      <c r="B113" s="27"/>
      <c r="C113" s="27"/>
      <c r="D113" s="27"/>
      <c r="E113" s="27"/>
      <c r="F113" s="27"/>
      <c r="G113" s="27">
        <v>0</v>
      </c>
      <c r="H113" s="26">
        <v>96.82</v>
      </c>
      <c r="I113" s="27">
        <v>0</v>
      </c>
      <c r="J113" s="27"/>
      <c r="K113" s="27"/>
    </row>
    <row r="114" spans="1:11" ht="15" customHeight="1">
      <c r="A114" s="19" t="s">
        <v>427</v>
      </c>
      <c r="B114" s="27"/>
      <c r="C114" s="27"/>
      <c r="D114" s="27"/>
      <c r="E114" s="27"/>
      <c r="F114" s="27"/>
      <c r="G114" s="27">
        <v>0</v>
      </c>
      <c r="H114" s="26">
        <v>96.82</v>
      </c>
      <c r="I114" s="27">
        <v>0</v>
      </c>
      <c r="J114" s="27"/>
      <c r="K114" s="27"/>
    </row>
    <row r="115" spans="1:11" ht="15" customHeight="1">
      <c r="A115" s="16" t="s">
        <v>428</v>
      </c>
      <c r="B115" s="27">
        <v>17910.29</v>
      </c>
      <c r="C115" s="27">
        <v>13823.81</v>
      </c>
      <c r="D115" s="27">
        <v>13773.91</v>
      </c>
      <c r="E115" s="27">
        <v>10960</v>
      </c>
      <c r="F115" s="25">
        <v>9212.7000000000007</v>
      </c>
      <c r="G115" s="25">
        <v>9057.74</v>
      </c>
      <c r="H115" s="25">
        <v>9195.43</v>
      </c>
      <c r="I115" s="25">
        <v>4936.47</v>
      </c>
      <c r="J115" s="25">
        <v>8381.66</v>
      </c>
      <c r="K115" s="27">
        <v>17189.419999999998</v>
      </c>
    </row>
    <row r="116" spans="1:11" ht="15" customHeight="1">
      <c r="A116" s="17" t="s">
        <v>429</v>
      </c>
      <c r="B116" s="27">
        <v>17868.59</v>
      </c>
      <c r="C116" s="27">
        <v>13974.8</v>
      </c>
      <c r="D116" s="27">
        <v>15417.41</v>
      </c>
      <c r="E116" s="27">
        <v>13006.7</v>
      </c>
      <c r="F116" s="27">
        <v>12895.49</v>
      </c>
      <c r="G116" s="27">
        <v>14183.31</v>
      </c>
      <c r="H116" s="27">
        <v>15793.01</v>
      </c>
      <c r="I116" s="27">
        <v>12633.6</v>
      </c>
      <c r="J116" s="27">
        <v>14234.46</v>
      </c>
      <c r="K116" s="27">
        <v>13830.7</v>
      </c>
    </row>
    <row r="117" spans="1:11" ht="15" customHeight="1">
      <c r="A117" s="19" t="s">
        <v>430</v>
      </c>
      <c r="B117" s="26">
        <v>83.4</v>
      </c>
      <c r="C117" s="26">
        <v>75.5</v>
      </c>
      <c r="D117" s="26">
        <v>77.23</v>
      </c>
      <c r="E117" s="26">
        <v>72.010000000000005</v>
      </c>
      <c r="F117" s="26">
        <v>68.739999999999995</v>
      </c>
      <c r="G117" s="26">
        <v>70.12</v>
      </c>
      <c r="H117" s="26">
        <v>69.55</v>
      </c>
      <c r="I117" s="26">
        <v>55.34</v>
      </c>
      <c r="J117" s="26">
        <v>59.09</v>
      </c>
      <c r="K117" s="26">
        <v>58.12</v>
      </c>
    </row>
    <row r="118" spans="1:11" ht="15" customHeight="1">
      <c r="A118" s="19" t="s">
        <v>431</v>
      </c>
      <c r="B118" s="27">
        <v>17785.18</v>
      </c>
      <c r="C118" s="27">
        <v>13899.3</v>
      </c>
      <c r="D118" s="27">
        <v>15340.18</v>
      </c>
      <c r="E118" s="27">
        <v>12934.69</v>
      </c>
      <c r="F118" s="27">
        <v>12826.75</v>
      </c>
      <c r="G118" s="27">
        <v>14113.18</v>
      </c>
      <c r="H118" s="27">
        <v>15723.46</v>
      </c>
      <c r="I118" s="27">
        <v>12578.26</v>
      </c>
      <c r="J118" s="27">
        <v>14175.37</v>
      </c>
      <c r="K118" s="27">
        <v>13772.57</v>
      </c>
    </row>
    <row r="119" spans="1:11" ht="15" customHeight="1">
      <c r="A119" s="17" t="s">
        <v>432</v>
      </c>
      <c r="B119" s="26">
        <v>41.7</v>
      </c>
      <c r="C119" s="20">
        <v>-150.99</v>
      </c>
      <c r="D119" s="20">
        <v>-1643.49</v>
      </c>
      <c r="E119" s="20">
        <v>-2046.71</v>
      </c>
      <c r="F119" s="20">
        <v>-3682.79</v>
      </c>
      <c r="G119" s="20">
        <v>-5125.57</v>
      </c>
      <c r="H119" s="20">
        <v>-6597.58</v>
      </c>
      <c r="I119" s="20">
        <v>-7697.12</v>
      </c>
      <c r="J119" s="20">
        <v>-5852.79</v>
      </c>
      <c r="K119" s="25">
        <v>3358.73</v>
      </c>
    </row>
    <row r="120" spans="1:11" ht="15" customHeight="1">
      <c r="A120" s="19" t="s">
        <v>433</v>
      </c>
      <c r="B120" s="26">
        <v>61.83</v>
      </c>
      <c r="C120" s="20">
        <v>-128.47999999999999</v>
      </c>
      <c r="D120" s="20">
        <v>-1624.53</v>
      </c>
      <c r="E120" s="20">
        <v>-2027.76</v>
      </c>
      <c r="F120" s="20">
        <v>-3676.42</v>
      </c>
      <c r="G120" s="20">
        <v>-5151.55</v>
      </c>
      <c r="H120" s="20">
        <v>-6653.49</v>
      </c>
      <c r="I120" s="20">
        <v>-7875.72</v>
      </c>
      <c r="J120" s="20">
        <v>-6086.48</v>
      </c>
      <c r="K120" s="25">
        <v>3122.08</v>
      </c>
    </row>
    <row r="121" spans="1:11" ht="15" customHeight="1">
      <c r="A121" s="19" t="s">
        <v>434</v>
      </c>
      <c r="B121" s="15">
        <v>-20.13</v>
      </c>
      <c r="C121" s="15">
        <v>-22.52</v>
      </c>
      <c r="D121" s="15">
        <v>-18.97</v>
      </c>
      <c r="E121" s="15">
        <v>-18.95</v>
      </c>
      <c r="F121" s="15">
        <v>-6.36</v>
      </c>
      <c r="G121" s="26">
        <v>25.97</v>
      </c>
      <c r="H121" s="26">
        <v>55.91</v>
      </c>
      <c r="I121" s="25">
        <v>178.59</v>
      </c>
      <c r="J121" s="25">
        <v>233.68</v>
      </c>
      <c r="K121" s="25">
        <v>236.65</v>
      </c>
    </row>
    <row r="122" spans="1:11" ht="15" customHeight="1">
      <c r="A122" s="22" t="s">
        <v>435</v>
      </c>
      <c r="B122" s="27"/>
      <c r="C122" s="27"/>
      <c r="D122" s="27"/>
      <c r="E122" s="27"/>
      <c r="F122" s="27">
        <v>0</v>
      </c>
      <c r="G122" s="27">
        <v>0</v>
      </c>
      <c r="H122" s="27">
        <v>0</v>
      </c>
      <c r="I122" s="26">
        <v>84.27</v>
      </c>
      <c r="J122" s="26">
        <v>69.84</v>
      </c>
      <c r="K122" s="26">
        <v>24.91</v>
      </c>
    </row>
    <row r="123" spans="1:11" ht="15" customHeight="1">
      <c r="A123" s="22" t="s">
        <v>436</v>
      </c>
      <c r="B123" s="26">
        <v>5.75</v>
      </c>
      <c r="C123" s="26">
        <v>2.65</v>
      </c>
      <c r="D123" s="27">
        <v>0</v>
      </c>
      <c r="E123" s="15">
        <v>-8.84</v>
      </c>
      <c r="F123" s="15">
        <v>-10.18</v>
      </c>
      <c r="G123" s="15">
        <v>-11.69</v>
      </c>
      <c r="H123" s="15">
        <v>-15</v>
      </c>
      <c r="I123" s="15">
        <v>-27.67</v>
      </c>
      <c r="J123" s="15">
        <v>-37.6</v>
      </c>
      <c r="K123" s="15">
        <v>-45.67</v>
      </c>
    </row>
    <row r="124" spans="1:11" ht="15" customHeight="1">
      <c r="A124" s="22" t="s">
        <v>437</v>
      </c>
      <c r="B124" s="15">
        <v>-25.88</v>
      </c>
      <c r="C124" s="15">
        <v>-25.17</v>
      </c>
      <c r="D124" s="15">
        <v>-18.97</v>
      </c>
      <c r="E124" s="15">
        <v>-10.11</v>
      </c>
      <c r="F124" s="26">
        <v>3.82</v>
      </c>
      <c r="G124" s="26">
        <v>37.659999999999997</v>
      </c>
      <c r="H124" s="26">
        <v>70.91</v>
      </c>
      <c r="I124" s="25">
        <v>122</v>
      </c>
      <c r="J124" s="25">
        <v>201.45</v>
      </c>
      <c r="K124" s="25">
        <v>257.41000000000003</v>
      </c>
    </row>
    <row r="125" spans="1:11" ht="15" customHeight="1">
      <c r="A125" s="16" t="s">
        <v>438</v>
      </c>
      <c r="B125" s="27">
        <v>17910.29</v>
      </c>
      <c r="C125" s="27">
        <v>13823.81</v>
      </c>
      <c r="D125" s="27">
        <v>13773.91</v>
      </c>
      <c r="E125" s="27">
        <v>10960</v>
      </c>
      <c r="F125" s="25">
        <v>9212.7000000000007</v>
      </c>
      <c r="G125" s="25">
        <v>9057.74</v>
      </c>
      <c r="H125" s="25">
        <v>9195.43</v>
      </c>
      <c r="I125" s="25">
        <v>4936.47</v>
      </c>
      <c r="J125" s="25">
        <v>8381.66</v>
      </c>
      <c r="K125" s="27">
        <v>17189.419999999998</v>
      </c>
    </row>
    <row r="126" spans="1:11" ht="15" customHeight="1">
      <c r="A126" s="12" t="s">
        <v>439</v>
      </c>
      <c r="B126" s="25">
        <v>1819.07</v>
      </c>
      <c r="C126" s="25">
        <v>634.44000000000005</v>
      </c>
      <c r="D126" s="25">
        <v>646.29</v>
      </c>
      <c r="E126" s="27"/>
      <c r="F126" s="27"/>
      <c r="G126" s="27"/>
      <c r="H126" s="27"/>
      <c r="I126" s="27"/>
      <c r="J126" s="27">
        <v>0</v>
      </c>
      <c r="K126" s="26">
        <v>1.38</v>
      </c>
    </row>
    <row r="127" spans="1:11" ht="15" customHeight="1">
      <c r="A127" s="10" t="s">
        <v>440</v>
      </c>
      <c r="B127" s="11"/>
      <c r="C127" s="11"/>
      <c r="D127" s="11"/>
      <c r="E127" s="11"/>
      <c r="F127" s="11"/>
      <c r="G127" s="11"/>
      <c r="H127" s="11"/>
      <c r="I127" s="11"/>
      <c r="J127" s="11"/>
      <c r="K127" s="11"/>
    </row>
    <row r="128" spans="1:11" ht="15" customHeight="1">
      <c r="A128" s="18" t="s">
        <v>441</v>
      </c>
      <c r="B128" s="28">
        <v>19729.36</v>
      </c>
      <c r="C128" s="28">
        <v>14458.24</v>
      </c>
      <c r="D128" s="28">
        <v>14420.2</v>
      </c>
      <c r="E128" s="28">
        <v>10960</v>
      </c>
      <c r="F128" s="29">
        <v>9212.7000000000007</v>
      </c>
      <c r="G128" s="29">
        <v>9057.74</v>
      </c>
      <c r="H128" s="29">
        <v>9292.25</v>
      </c>
      <c r="I128" s="29">
        <v>4936.47</v>
      </c>
      <c r="J128" s="29">
        <v>8381.66</v>
      </c>
      <c r="K128" s="28">
        <v>17190.810000000001</v>
      </c>
    </row>
    <row r="129" spans="1:11" ht="15" customHeight="1">
      <c r="A129" s="10" t="s">
        <v>442</v>
      </c>
      <c r="B129" s="11"/>
      <c r="C129" s="11"/>
      <c r="D129" s="11"/>
      <c r="E129" s="11"/>
      <c r="F129" s="11"/>
      <c r="G129" s="11"/>
      <c r="H129" s="11"/>
      <c r="I129" s="11"/>
      <c r="J129" s="11"/>
      <c r="K129" s="11"/>
    </row>
    <row r="130" spans="1:11" ht="15" customHeight="1">
      <c r="A130" s="18" t="s">
        <v>443</v>
      </c>
      <c r="B130" s="28">
        <v>74839.27</v>
      </c>
      <c r="C130" s="28">
        <v>64591.89</v>
      </c>
      <c r="D130" s="28">
        <v>62471.73</v>
      </c>
      <c r="E130" s="28">
        <v>57398.79</v>
      </c>
      <c r="F130" s="28">
        <v>56602.67</v>
      </c>
      <c r="G130" s="28">
        <v>54932.08</v>
      </c>
      <c r="H130" s="28">
        <v>54633.91</v>
      </c>
      <c r="I130" s="28">
        <v>53146.63</v>
      </c>
      <c r="J130" s="28">
        <v>57947.76</v>
      </c>
      <c r="K130" s="28">
        <v>72092.89</v>
      </c>
    </row>
    <row r="131" spans="1:11" ht="15" customHeight="1">
      <c r="A131" s="10" t="s">
        <v>444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</row>
    <row r="132" spans="1:11" ht="15" customHeight="1">
      <c r="A132" s="12" t="s">
        <v>445</v>
      </c>
      <c r="B132" s="25">
        <v>576.61</v>
      </c>
      <c r="C132" s="25">
        <v>574.34</v>
      </c>
      <c r="D132" s="25">
        <v>572.13</v>
      </c>
      <c r="E132" s="25">
        <v>570.26</v>
      </c>
      <c r="F132" s="25">
        <v>543.12</v>
      </c>
      <c r="G132" s="25">
        <v>540.65</v>
      </c>
      <c r="H132" s="25">
        <v>511.92</v>
      </c>
      <c r="I132" s="25">
        <v>445.33</v>
      </c>
      <c r="J132" s="25">
        <v>442.34</v>
      </c>
      <c r="K132" s="25">
        <v>423.56</v>
      </c>
    </row>
    <row r="133" spans="1:11" ht="15" customHeight="1">
      <c r="A133" s="16" t="s">
        <v>62</v>
      </c>
      <c r="B133" s="25">
        <v>576.61</v>
      </c>
      <c r="C133" s="25">
        <v>574.34</v>
      </c>
      <c r="D133" s="25">
        <v>572.13</v>
      </c>
      <c r="E133" s="25">
        <v>570.26</v>
      </c>
      <c r="F133" s="25">
        <v>543.12</v>
      </c>
      <c r="G133" s="25">
        <v>540.65</v>
      </c>
      <c r="H133" s="25">
        <v>511.92</v>
      </c>
      <c r="I133" s="25">
        <v>445.33</v>
      </c>
      <c r="J133" s="25">
        <v>442.34</v>
      </c>
      <c r="K133" s="25">
        <v>423.56</v>
      </c>
    </row>
    <row r="134" spans="1:11" ht="15" customHeight="1">
      <c r="A134" s="16" t="s">
        <v>446</v>
      </c>
      <c r="B134" s="27">
        <v>0</v>
      </c>
      <c r="C134" s="27">
        <v>0</v>
      </c>
      <c r="D134" s="27">
        <v>0</v>
      </c>
      <c r="E134" s="27">
        <v>0</v>
      </c>
      <c r="F134" s="27">
        <v>0</v>
      </c>
      <c r="G134" s="27">
        <v>0</v>
      </c>
      <c r="H134" s="27">
        <v>0</v>
      </c>
      <c r="I134" s="27">
        <v>0</v>
      </c>
      <c r="J134" s="27">
        <v>0</v>
      </c>
      <c r="K134" s="27">
        <v>0</v>
      </c>
    </row>
    <row r="135" spans="1:11" ht="15" customHeight="1">
      <c r="A135" s="12" t="s">
        <v>447</v>
      </c>
      <c r="B135" s="25">
        <v>700</v>
      </c>
      <c r="C135" s="25">
        <v>700</v>
      </c>
      <c r="D135" s="25">
        <v>700</v>
      </c>
      <c r="E135" s="25">
        <v>700</v>
      </c>
      <c r="F135" s="25">
        <v>700</v>
      </c>
      <c r="G135" s="25">
        <v>700</v>
      </c>
      <c r="H135" s="25">
        <v>700</v>
      </c>
      <c r="I135" s="25">
        <v>700</v>
      </c>
      <c r="J135" s="25">
        <v>490</v>
      </c>
      <c r="K135" s="25">
        <v>490</v>
      </c>
    </row>
    <row r="136" spans="1:11" ht="15" customHeight="1">
      <c r="A136" s="12" t="s">
        <v>448</v>
      </c>
      <c r="B136" s="25">
        <v>576.61</v>
      </c>
      <c r="C136" s="25">
        <v>574.34</v>
      </c>
      <c r="D136" s="25">
        <v>572.13</v>
      </c>
      <c r="E136" s="25">
        <v>570.26</v>
      </c>
      <c r="F136" s="25">
        <v>543.12</v>
      </c>
      <c r="G136" s="25">
        <v>540.65</v>
      </c>
      <c r="H136" s="25">
        <v>511.92</v>
      </c>
      <c r="I136" s="25">
        <v>445.33</v>
      </c>
      <c r="J136" s="25">
        <v>442.34</v>
      </c>
      <c r="K136" s="25">
        <v>423.56</v>
      </c>
    </row>
    <row r="137" spans="1:11" ht="15" customHeight="1">
      <c r="A137" s="16" t="s">
        <v>449</v>
      </c>
      <c r="B137" s="25">
        <v>576.61</v>
      </c>
      <c r="C137" s="25">
        <v>574.34</v>
      </c>
      <c r="D137" s="25">
        <v>572.13</v>
      </c>
      <c r="E137" s="25">
        <v>570.26</v>
      </c>
      <c r="F137" s="25">
        <v>543.12</v>
      </c>
      <c r="G137" s="25">
        <v>540.65</v>
      </c>
      <c r="H137" s="25">
        <v>511.92</v>
      </c>
      <c r="I137" s="25">
        <v>445.33</v>
      </c>
      <c r="J137" s="25">
        <v>442.34</v>
      </c>
      <c r="K137" s="25">
        <v>423.56</v>
      </c>
    </row>
    <row r="138" spans="1:11" ht="15" customHeight="1">
      <c r="A138" s="16" t="s">
        <v>450</v>
      </c>
      <c r="B138" s="27">
        <v>0</v>
      </c>
      <c r="C138" s="27">
        <v>0</v>
      </c>
      <c r="D138" s="27">
        <v>0</v>
      </c>
      <c r="E138" s="27">
        <v>0</v>
      </c>
      <c r="F138" s="27">
        <v>0</v>
      </c>
      <c r="G138" s="27">
        <v>0</v>
      </c>
      <c r="H138" s="27">
        <v>0</v>
      </c>
      <c r="I138" s="27">
        <v>0</v>
      </c>
      <c r="J138" s="27">
        <v>0</v>
      </c>
      <c r="K138" s="27">
        <v>0</v>
      </c>
    </row>
    <row r="139" spans="1:11" ht="15" customHeight="1">
      <c r="A139" s="10" t="s">
        <v>451</v>
      </c>
      <c r="B139" s="11"/>
      <c r="C139" s="11"/>
      <c r="D139" s="11"/>
      <c r="E139" s="11"/>
      <c r="F139" s="11"/>
      <c r="G139" s="11"/>
      <c r="H139" s="11"/>
      <c r="I139" s="11"/>
      <c r="J139" s="11"/>
      <c r="K139" s="11"/>
    </row>
    <row r="140" spans="1:11" ht="15" customHeight="1">
      <c r="A140" s="12" t="s">
        <v>452</v>
      </c>
      <c r="B140" s="27"/>
      <c r="C140" s="27"/>
      <c r="D140" s="27"/>
      <c r="E140" s="27"/>
      <c r="F140" s="27"/>
      <c r="G140" s="26">
        <v>5</v>
      </c>
      <c r="H140" s="26">
        <v>5</v>
      </c>
      <c r="I140" s="27"/>
      <c r="J140" s="27"/>
      <c r="K140" s="27"/>
    </row>
    <row r="141" spans="1:11" ht="15" customHeight="1">
      <c r="A141" s="12" t="s">
        <v>453</v>
      </c>
      <c r="B141" s="27"/>
      <c r="C141" s="27"/>
      <c r="D141" s="27"/>
      <c r="E141" s="27"/>
      <c r="F141" s="27"/>
      <c r="G141" s="27">
        <v>0</v>
      </c>
      <c r="H141" s="26">
        <v>0.7</v>
      </c>
      <c r="I141" s="27"/>
      <c r="J141" s="27"/>
      <c r="K141" s="27"/>
    </row>
    <row r="142" spans="1:11" ht="15" customHeight="1">
      <c r="A142" s="16" t="s">
        <v>454</v>
      </c>
      <c r="B142" s="27"/>
      <c r="C142" s="27"/>
      <c r="D142" s="27"/>
      <c r="E142" s="27"/>
      <c r="F142" s="27"/>
      <c r="G142" s="27">
        <v>0</v>
      </c>
      <c r="H142" s="26">
        <v>0.7</v>
      </c>
      <c r="I142" s="27"/>
      <c r="J142" s="27"/>
      <c r="K142" s="27"/>
    </row>
    <row r="143" spans="1:11" ht="15" customHeight="1">
      <c r="A143" s="16" t="s">
        <v>455</v>
      </c>
      <c r="B143" s="27"/>
      <c r="C143" s="27"/>
      <c r="D143" s="27"/>
      <c r="E143" s="27"/>
      <c r="F143" s="27"/>
      <c r="G143" s="27">
        <v>0</v>
      </c>
      <c r="H143" s="27">
        <v>0</v>
      </c>
      <c r="I143" s="27"/>
      <c r="J143" s="27"/>
      <c r="K143" s="27"/>
    </row>
    <row r="144" spans="1:11" ht="15" customHeight="1">
      <c r="A144" s="10" t="s">
        <v>456</v>
      </c>
      <c r="B144" s="11"/>
      <c r="C144" s="11"/>
      <c r="D144" s="11"/>
      <c r="E144" s="11"/>
      <c r="F144" s="11"/>
      <c r="G144" s="11"/>
      <c r="H144" s="11"/>
      <c r="I144" s="11"/>
      <c r="J144" s="11"/>
      <c r="K144" s="11"/>
    </row>
    <row r="145" spans="1:11" ht="15" customHeight="1">
      <c r="A145" s="12" t="s">
        <v>457</v>
      </c>
      <c r="B145" s="26">
        <v>1</v>
      </c>
      <c r="C145" s="26">
        <v>1</v>
      </c>
      <c r="D145" s="26">
        <v>1</v>
      </c>
      <c r="E145" s="26">
        <v>1</v>
      </c>
      <c r="F145" s="26">
        <v>1</v>
      </c>
      <c r="G145" s="26">
        <v>1</v>
      </c>
      <c r="H145" s="26">
        <v>1</v>
      </c>
      <c r="I145" s="26">
        <v>1</v>
      </c>
      <c r="J145" s="26">
        <v>1</v>
      </c>
      <c r="K145" s="26">
        <v>1</v>
      </c>
    </row>
    <row r="146" spans="1:11" ht="15" customHeight="1">
      <c r="A146" s="10" t="s">
        <v>458</v>
      </c>
      <c r="B146" s="11"/>
      <c r="C146" s="11"/>
      <c r="D146" s="11"/>
      <c r="E146" s="11"/>
      <c r="F146" s="11"/>
      <c r="G146" s="11"/>
      <c r="H146" s="11"/>
      <c r="I146" s="11"/>
      <c r="J146" s="11"/>
      <c r="K146" s="11"/>
    </row>
    <row r="147" spans="1:11" ht="15" customHeight="1">
      <c r="A147" s="12" t="s">
        <v>459</v>
      </c>
      <c r="B147" s="25">
        <v>373.88</v>
      </c>
      <c r="C147" s="25">
        <v>317.88</v>
      </c>
      <c r="D147" s="25">
        <v>415.95</v>
      </c>
      <c r="E147" s="25">
        <v>413.13</v>
      </c>
      <c r="F147" s="25">
        <v>409.91</v>
      </c>
      <c r="G147" s="25">
        <v>394.77</v>
      </c>
      <c r="H147" s="27"/>
      <c r="I147" s="27"/>
      <c r="J147" s="27"/>
      <c r="K147" s="27"/>
    </row>
    <row r="148" spans="1:11" ht="15" customHeight="1">
      <c r="A148" s="16" t="s">
        <v>460</v>
      </c>
      <c r="B148" s="25">
        <v>327.86</v>
      </c>
      <c r="C148" s="25">
        <v>271.52</v>
      </c>
      <c r="D148" s="25">
        <v>354.98</v>
      </c>
      <c r="E148" s="25">
        <v>352.49</v>
      </c>
      <c r="F148" s="25">
        <v>337.35</v>
      </c>
      <c r="G148" s="25">
        <v>299.98</v>
      </c>
      <c r="H148" s="27"/>
      <c r="I148" s="27"/>
      <c r="J148" s="27"/>
      <c r="K148" s="27"/>
    </row>
    <row r="149" spans="1:11" ht="15" customHeight="1">
      <c r="A149" s="16" t="s">
        <v>461</v>
      </c>
      <c r="B149" s="26">
        <v>46.02</v>
      </c>
      <c r="C149" s="26">
        <v>46.36</v>
      </c>
      <c r="D149" s="26">
        <v>60.97</v>
      </c>
      <c r="E149" s="26">
        <v>60.64</v>
      </c>
      <c r="F149" s="26">
        <v>72.56</v>
      </c>
      <c r="G149" s="26">
        <v>94.8</v>
      </c>
      <c r="H149" s="27"/>
      <c r="I149" s="27"/>
      <c r="J149" s="27"/>
      <c r="K149" s="27"/>
    </row>
    <row r="150" spans="1:11" ht="15" customHeight="1">
      <c r="A150" s="16" t="s">
        <v>462</v>
      </c>
      <c r="B150" s="25">
        <v>644.22</v>
      </c>
      <c r="C150" s="25">
        <v>545.69000000000005</v>
      </c>
      <c r="D150" s="25">
        <v>651.71</v>
      </c>
      <c r="E150" s="25">
        <v>632.96</v>
      </c>
      <c r="F150" s="25">
        <v>597.04</v>
      </c>
      <c r="G150" s="25">
        <v>541.52</v>
      </c>
      <c r="H150" s="27"/>
      <c r="I150" s="27"/>
      <c r="J150" s="27"/>
      <c r="K150" s="27"/>
    </row>
    <row r="151" spans="1:11" ht="15" customHeight="1">
      <c r="A151" s="17" t="s">
        <v>463</v>
      </c>
      <c r="B151" s="25">
        <v>578.08000000000004</v>
      </c>
      <c r="C151" s="25">
        <v>455.63</v>
      </c>
      <c r="D151" s="25">
        <v>509.44</v>
      </c>
      <c r="E151" s="25">
        <v>452.3</v>
      </c>
      <c r="F151" s="25">
        <v>402.27</v>
      </c>
      <c r="G151" s="25">
        <v>329.84</v>
      </c>
      <c r="H151" s="27"/>
      <c r="I151" s="27"/>
      <c r="J151" s="27"/>
      <c r="K151" s="27"/>
    </row>
    <row r="152" spans="1:11" ht="15" customHeight="1">
      <c r="A152" s="17" t="s">
        <v>464</v>
      </c>
      <c r="B152" s="26">
        <v>66.150000000000006</v>
      </c>
      <c r="C152" s="26">
        <v>90.07</v>
      </c>
      <c r="D152" s="25">
        <v>142.26</v>
      </c>
      <c r="E152" s="25">
        <v>180.67</v>
      </c>
      <c r="F152" s="25">
        <v>194.77</v>
      </c>
      <c r="G152" s="25">
        <v>211.67</v>
      </c>
      <c r="H152" s="27"/>
      <c r="I152" s="27"/>
      <c r="J152" s="27"/>
      <c r="K152" s="27"/>
    </row>
    <row r="153" spans="1:11" ht="15" customHeight="1">
      <c r="A153" s="16" t="s">
        <v>465</v>
      </c>
      <c r="B153" s="25">
        <v>270.33999999999997</v>
      </c>
      <c r="C153" s="25">
        <v>227.81</v>
      </c>
      <c r="D153" s="25">
        <v>235.75</v>
      </c>
      <c r="E153" s="25">
        <v>219.83</v>
      </c>
      <c r="F153" s="25">
        <v>187.13</v>
      </c>
      <c r="G153" s="25">
        <v>146.74</v>
      </c>
      <c r="H153" s="27"/>
      <c r="I153" s="27"/>
      <c r="J153" s="27"/>
      <c r="K153" s="27"/>
    </row>
    <row r="154" spans="1:11" ht="15" customHeight="1">
      <c r="A154" s="17" t="s">
        <v>466</v>
      </c>
      <c r="B154" s="25">
        <v>250.21</v>
      </c>
      <c r="C154" s="25">
        <v>184.11</v>
      </c>
      <c r="D154" s="25">
        <v>154.46</v>
      </c>
      <c r="E154" s="26">
        <v>99.81</v>
      </c>
      <c r="F154" s="26">
        <v>64.92</v>
      </c>
      <c r="G154" s="26">
        <v>29.87</v>
      </c>
      <c r="H154" s="27"/>
      <c r="I154" s="27"/>
      <c r="J154" s="27"/>
      <c r="K154" s="27"/>
    </row>
    <row r="155" spans="1:11" ht="15" customHeight="1">
      <c r="A155" s="17" t="s">
        <v>467</v>
      </c>
      <c r="B155" s="26">
        <v>20.13</v>
      </c>
      <c r="C155" s="26">
        <v>43.71</v>
      </c>
      <c r="D155" s="26">
        <v>81.290000000000006</v>
      </c>
      <c r="E155" s="25">
        <v>120.02</v>
      </c>
      <c r="F155" s="25">
        <v>122.21</v>
      </c>
      <c r="G155" s="25">
        <v>116.87</v>
      </c>
      <c r="H155" s="27"/>
      <c r="I155" s="27"/>
      <c r="J155" s="27"/>
      <c r="K155" s="27"/>
    </row>
    <row r="156" spans="1:11" ht="15" customHeight="1">
      <c r="A156" s="12" t="s">
        <v>468</v>
      </c>
      <c r="B156" s="27">
        <v>59058.66</v>
      </c>
      <c r="C156" s="27">
        <v>50830.34</v>
      </c>
      <c r="D156" s="27">
        <v>49101.58</v>
      </c>
      <c r="E156" s="27">
        <v>43834.93</v>
      </c>
      <c r="F156" s="27">
        <v>42310.7</v>
      </c>
      <c r="G156" s="27">
        <v>41005.89</v>
      </c>
      <c r="H156" s="27"/>
      <c r="I156" s="27"/>
      <c r="J156" s="27"/>
      <c r="K156" s="27"/>
    </row>
    <row r="157" spans="1:11" ht="15" customHeight="1">
      <c r="A157" s="16" t="s">
        <v>469</v>
      </c>
      <c r="B157" s="27">
        <v>79958.55</v>
      </c>
      <c r="C157" s="27">
        <v>69079.3</v>
      </c>
      <c r="D157" s="27">
        <v>66983.55</v>
      </c>
      <c r="E157" s="27">
        <v>59724.71</v>
      </c>
      <c r="F157" s="27">
        <v>57385.57</v>
      </c>
      <c r="G157" s="27">
        <v>55728.12</v>
      </c>
      <c r="H157" s="27"/>
      <c r="I157" s="27"/>
      <c r="J157" s="27"/>
      <c r="K157" s="27"/>
    </row>
    <row r="158" spans="1:11" ht="15" customHeight="1">
      <c r="A158" s="16" t="s">
        <v>470</v>
      </c>
      <c r="B158" s="27">
        <v>20899.89</v>
      </c>
      <c r="C158" s="27">
        <v>18248.96</v>
      </c>
      <c r="D158" s="27">
        <v>17881.97</v>
      </c>
      <c r="E158" s="27">
        <v>15889.78</v>
      </c>
      <c r="F158" s="27">
        <v>15074.87</v>
      </c>
      <c r="G158" s="27">
        <v>14722.23</v>
      </c>
      <c r="H158" s="27"/>
      <c r="I158" s="27"/>
      <c r="J158" s="27"/>
      <c r="K158" s="27"/>
    </row>
    <row r="159" spans="1:11" ht="15" customHeight="1">
      <c r="A159" s="10" t="s">
        <v>471</v>
      </c>
      <c r="B159" s="11"/>
      <c r="C159" s="11"/>
      <c r="D159" s="11"/>
      <c r="E159" s="11"/>
      <c r="F159" s="11"/>
      <c r="G159" s="11"/>
      <c r="H159" s="11"/>
      <c r="I159" s="11"/>
      <c r="J159" s="11"/>
      <c r="K159" s="11"/>
    </row>
    <row r="160" spans="1:11" ht="15" customHeight="1">
      <c r="A160" s="12" t="s">
        <v>472</v>
      </c>
      <c r="B160" s="25">
        <v>349.43</v>
      </c>
      <c r="C160" s="25">
        <v>299.33999999999997</v>
      </c>
      <c r="D160" s="25">
        <v>399.7</v>
      </c>
      <c r="E160" s="25">
        <v>391.65</v>
      </c>
      <c r="F160" s="25">
        <v>388.27</v>
      </c>
      <c r="G160" s="25">
        <v>354.52</v>
      </c>
      <c r="H160" s="27"/>
      <c r="I160" s="27"/>
      <c r="J160" s="27"/>
      <c r="K160" s="27"/>
    </row>
    <row r="161" spans="1:11" ht="15" customHeight="1">
      <c r="A161" s="16" t="s">
        <v>473</v>
      </c>
      <c r="B161" s="26">
        <v>73.34</v>
      </c>
      <c r="C161" s="26">
        <v>62.25</v>
      </c>
      <c r="D161" s="26">
        <v>65.040000000000006</v>
      </c>
      <c r="E161" s="26">
        <v>49.27</v>
      </c>
      <c r="F161" s="26">
        <v>53.47</v>
      </c>
      <c r="G161" s="26">
        <v>41.56</v>
      </c>
      <c r="H161" s="27"/>
      <c r="I161" s="27"/>
      <c r="J161" s="27"/>
      <c r="K161" s="27"/>
    </row>
    <row r="162" spans="1:11" ht="15" customHeight="1">
      <c r="A162" s="16" t="s">
        <v>474</v>
      </c>
      <c r="B162" s="25">
        <v>276.10000000000002</v>
      </c>
      <c r="C162" s="25">
        <v>237.09</v>
      </c>
      <c r="D162" s="25">
        <v>334.66</v>
      </c>
      <c r="E162" s="25">
        <v>342.38</v>
      </c>
      <c r="F162" s="25">
        <v>334.8</v>
      </c>
      <c r="G162" s="25">
        <v>312.95999999999998</v>
      </c>
      <c r="H162" s="27"/>
      <c r="I162" s="27"/>
      <c r="J162" s="27"/>
      <c r="K162" s="27"/>
    </row>
    <row r="163" spans="1:11" ht="15" customHeight="1">
      <c r="A163" s="12" t="s">
        <v>475</v>
      </c>
      <c r="B163" s="25">
        <v>366.69</v>
      </c>
      <c r="C163" s="25">
        <v>317.88</v>
      </c>
      <c r="D163" s="25">
        <v>430.86</v>
      </c>
      <c r="E163" s="25">
        <v>437.14</v>
      </c>
      <c r="F163" s="25">
        <v>445.55</v>
      </c>
      <c r="G163" s="25">
        <v>432.43</v>
      </c>
      <c r="H163" s="26">
        <v>99.55</v>
      </c>
      <c r="I163" s="27"/>
      <c r="J163" s="25">
        <v>139.66999999999999</v>
      </c>
      <c r="K163" s="25">
        <v>182.67</v>
      </c>
    </row>
    <row r="164" spans="1:11" ht="15" customHeight="1">
      <c r="A164" s="12" t="s">
        <v>476</v>
      </c>
      <c r="B164" s="27">
        <v>34894.51</v>
      </c>
      <c r="C164" s="27">
        <v>33292.629999999997</v>
      </c>
      <c r="D164" s="27">
        <v>29738.7</v>
      </c>
      <c r="E164" s="27">
        <v>30528.799999999999</v>
      </c>
      <c r="F164" s="27">
        <v>31547.49</v>
      </c>
      <c r="G164" s="27">
        <v>27622.52</v>
      </c>
      <c r="H164" s="27">
        <v>26597.599999999999</v>
      </c>
      <c r="I164" s="27">
        <v>24581.75</v>
      </c>
      <c r="J164" s="27">
        <v>30287.34</v>
      </c>
      <c r="K164" s="27">
        <v>30408.43</v>
      </c>
    </row>
    <row r="165" spans="1:11" ht="15" customHeight="1">
      <c r="A165" s="10" t="s">
        <v>477</v>
      </c>
      <c r="B165" s="11"/>
      <c r="C165" s="11"/>
      <c r="D165" s="11"/>
      <c r="E165" s="11"/>
      <c r="F165" s="11"/>
      <c r="G165" s="11"/>
      <c r="H165" s="11"/>
      <c r="I165" s="11"/>
      <c r="J165" s="11"/>
      <c r="K165" s="11"/>
    </row>
    <row r="166" spans="1:11" ht="15" customHeight="1">
      <c r="A166" s="12" t="s">
        <v>478</v>
      </c>
      <c r="B166" s="27"/>
      <c r="C166" s="27"/>
      <c r="D166" s="27"/>
      <c r="E166" s="27"/>
      <c r="F166" s="27"/>
      <c r="G166" s="27"/>
      <c r="H166" s="27"/>
      <c r="I166" s="27"/>
      <c r="J166" s="25">
        <v>188.02</v>
      </c>
      <c r="K166" s="25">
        <v>217.27</v>
      </c>
    </row>
    <row r="167" spans="1:11" ht="15" customHeight="1">
      <c r="A167" s="12" t="s">
        <v>479</v>
      </c>
      <c r="B167" s="25">
        <v>937.58</v>
      </c>
      <c r="C167" s="25">
        <v>878.14</v>
      </c>
      <c r="D167" s="25">
        <v>842.75</v>
      </c>
      <c r="E167" s="25">
        <v>827.53</v>
      </c>
      <c r="F167" s="25">
        <v>770.17</v>
      </c>
      <c r="G167" s="25">
        <v>738.9</v>
      </c>
      <c r="H167" s="25">
        <v>694.12</v>
      </c>
      <c r="I167" s="25">
        <v>636.4</v>
      </c>
      <c r="J167" s="25">
        <v>687.62</v>
      </c>
      <c r="K167" s="25">
        <v>700.25</v>
      </c>
    </row>
    <row r="168" spans="1:11" ht="15" customHeight="1">
      <c r="A168" s="12" t="s">
        <v>480</v>
      </c>
      <c r="B168" s="25">
        <v>2635.85</v>
      </c>
      <c r="C168" s="25">
        <v>2098.0100000000002</v>
      </c>
      <c r="D168" s="25">
        <v>2128.5500000000002</v>
      </c>
      <c r="E168" s="25">
        <v>1615.89</v>
      </c>
      <c r="F168" s="25">
        <v>1831.85</v>
      </c>
      <c r="G168" s="25">
        <v>1680.39</v>
      </c>
      <c r="H168" s="25">
        <v>2060.5500000000002</v>
      </c>
      <c r="I168" s="25">
        <v>1826.18</v>
      </c>
      <c r="J168" s="25">
        <v>2168.9499999999998</v>
      </c>
      <c r="K168" s="25">
        <v>2207.3200000000002</v>
      </c>
    </row>
    <row r="169" spans="1:11" ht="15" customHeight="1">
      <c r="A169" s="16" t="s">
        <v>481</v>
      </c>
      <c r="B169" s="25">
        <v>2279.23</v>
      </c>
      <c r="C169" s="25">
        <v>1830.46</v>
      </c>
      <c r="D169" s="25">
        <v>1971.38</v>
      </c>
      <c r="E169" s="25">
        <v>1505.97</v>
      </c>
      <c r="F169" s="25">
        <v>1740.19</v>
      </c>
      <c r="G169" s="25">
        <v>2856.92</v>
      </c>
      <c r="H169" s="25">
        <v>1760.54</v>
      </c>
      <c r="I169" s="25">
        <v>1674</v>
      </c>
      <c r="J169" s="25">
        <v>2005.1</v>
      </c>
      <c r="K169" s="25">
        <v>2053.71</v>
      </c>
    </row>
    <row r="170" spans="1:11" ht="15" customHeight="1">
      <c r="A170" s="12" t="s">
        <v>482</v>
      </c>
      <c r="B170" s="27"/>
      <c r="C170" s="27"/>
      <c r="D170" s="27"/>
      <c r="E170" s="27">
        <v>0</v>
      </c>
      <c r="F170" s="26">
        <v>57.29</v>
      </c>
      <c r="G170" s="25">
        <v>1188.22</v>
      </c>
      <c r="H170" s="26">
        <v>34.090000000000003</v>
      </c>
      <c r="I170" s="25">
        <v>5024.51</v>
      </c>
      <c r="J170" s="27"/>
      <c r="K170" s="27"/>
    </row>
    <row r="171" spans="1:11" ht="15" customHeight="1">
      <c r="A171" s="12" t="s">
        <v>483</v>
      </c>
      <c r="B171" s="25">
        <v>2460.42</v>
      </c>
      <c r="C171" s="25">
        <v>1778.8</v>
      </c>
      <c r="D171" s="25">
        <v>1289.8599999999999</v>
      </c>
      <c r="E171" s="25">
        <v>1197.7</v>
      </c>
      <c r="F171" s="25">
        <v>1167.3399999999999</v>
      </c>
      <c r="G171" s="25">
        <v>1141.47</v>
      </c>
      <c r="H171" s="25">
        <v>2184.65</v>
      </c>
      <c r="I171" s="25">
        <v>2024.9</v>
      </c>
      <c r="J171" s="25">
        <v>6573.99</v>
      </c>
      <c r="K171" s="25">
        <v>7131.24</v>
      </c>
    </row>
    <row r="172" spans="1:11" ht="15" customHeight="1">
      <c r="A172" s="12" t="s">
        <v>484</v>
      </c>
      <c r="B172" s="25">
        <v>1045.43</v>
      </c>
      <c r="C172" s="25">
        <v>927.15</v>
      </c>
      <c r="D172" s="25">
        <v>905.07</v>
      </c>
      <c r="E172" s="25">
        <v>817.42</v>
      </c>
      <c r="F172" s="25">
        <v>814.72</v>
      </c>
      <c r="G172" s="25">
        <v>707.74</v>
      </c>
      <c r="H172" s="25">
        <v>726.85</v>
      </c>
      <c r="I172" s="25">
        <v>670.35</v>
      </c>
      <c r="J172" s="25">
        <v>778.94</v>
      </c>
      <c r="K172" s="25">
        <v>718.24</v>
      </c>
    </row>
    <row r="173" spans="1:11" ht="15" customHeight="1">
      <c r="A173" s="12" t="s">
        <v>485</v>
      </c>
      <c r="B173" s="25">
        <v>352.31</v>
      </c>
      <c r="C173" s="25">
        <v>311.26</v>
      </c>
      <c r="D173" s="25">
        <v>302.14</v>
      </c>
      <c r="E173" s="25">
        <v>280.47000000000003</v>
      </c>
      <c r="F173" s="27"/>
      <c r="G173" s="27"/>
      <c r="H173" s="27"/>
      <c r="I173" s="27"/>
      <c r="J173" s="27"/>
      <c r="K173" s="27"/>
    </row>
    <row r="174" spans="1:11" ht="15" customHeight="1">
      <c r="A174" s="12" t="s">
        <v>486</v>
      </c>
      <c r="B174" s="25">
        <v>2946.46</v>
      </c>
      <c r="C174" s="25">
        <v>2593.37</v>
      </c>
      <c r="D174" s="25">
        <v>2749.09</v>
      </c>
      <c r="E174" s="25">
        <v>1944.37</v>
      </c>
      <c r="F174" s="25">
        <v>1856.03</v>
      </c>
      <c r="G174" s="25">
        <v>1963.48</v>
      </c>
      <c r="H174" s="25">
        <v>1749.63</v>
      </c>
      <c r="I174" s="25">
        <v>1363.35</v>
      </c>
      <c r="J174" s="25">
        <v>1888.26</v>
      </c>
      <c r="K174" s="25">
        <v>1949.92</v>
      </c>
    </row>
    <row r="175" spans="1:11" ht="15" customHeight="1">
      <c r="A175" s="16" t="s">
        <v>487</v>
      </c>
      <c r="B175" s="25">
        <v>2264.85</v>
      </c>
      <c r="C175" s="25">
        <v>1803.97</v>
      </c>
      <c r="D175" s="25">
        <v>2036.41</v>
      </c>
      <c r="E175" s="25">
        <v>1191.3900000000001</v>
      </c>
      <c r="F175" s="25">
        <v>1052.77</v>
      </c>
      <c r="G175" s="25">
        <v>1305.0899999999999</v>
      </c>
      <c r="H175" s="25">
        <v>1315.97</v>
      </c>
      <c r="I175" s="25">
        <v>1040.1199999999999</v>
      </c>
      <c r="J175" s="25">
        <v>1400.75</v>
      </c>
      <c r="K175" s="25">
        <v>1487.69</v>
      </c>
    </row>
    <row r="176" spans="1:11" ht="15" customHeight="1">
      <c r="A176" s="16" t="s">
        <v>488</v>
      </c>
      <c r="B176" s="25">
        <v>681.61</v>
      </c>
      <c r="C176" s="25">
        <v>789.4</v>
      </c>
      <c r="D176" s="25">
        <v>712.68</v>
      </c>
      <c r="E176" s="25">
        <v>752.99</v>
      </c>
      <c r="F176" s="25">
        <v>803.26</v>
      </c>
      <c r="G176" s="25">
        <v>658.39</v>
      </c>
      <c r="H176" s="25">
        <v>433.66</v>
      </c>
      <c r="I176" s="25">
        <v>323.23</v>
      </c>
      <c r="J176" s="25">
        <v>487.51</v>
      </c>
      <c r="K176" s="25">
        <v>462.22</v>
      </c>
    </row>
    <row r="177" spans="1:11" ht="15" customHeight="1">
      <c r="A177" s="12" t="s">
        <v>489</v>
      </c>
      <c r="B177" s="27"/>
      <c r="C177" s="27"/>
      <c r="D177" s="27"/>
      <c r="E177" s="27"/>
      <c r="F177" s="27"/>
      <c r="G177" s="27"/>
      <c r="H177" s="27"/>
      <c r="I177" s="27"/>
      <c r="J177" s="25">
        <v>104.75</v>
      </c>
      <c r="K177" s="25">
        <v>146.69</v>
      </c>
    </row>
    <row r="178" spans="1:11" ht="15" customHeight="1">
      <c r="A178" s="12" t="s">
        <v>490</v>
      </c>
      <c r="B178" s="27"/>
      <c r="C178" s="27"/>
      <c r="D178" s="27"/>
      <c r="E178" s="27"/>
      <c r="F178" s="27">
        <v>0</v>
      </c>
      <c r="G178" s="25">
        <v>897.33</v>
      </c>
      <c r="H178" s="27">
        <v>0</v>
      </c>
      <c r="I178" s="25">
        <v>5667.2</v>
      </c>
      <c r="J178" s="27"/>
      <c r="K178" s="27"/>
    </row>
    <row r="179" spans="1:11" ht="15" customHeight="1">
      <c r="A179" s="10" t="s">
        <v>491</v>
      </c>
      <c r="B179" s="11"/>
      <c r="C179" s="11"/>
      <c r="D179" s="11"/>
      <c r="E179" s="11"/>
      <c r="F179" s="11"/>
      <c r="G179" s="11"/>
      <c r="H179" s="11"/>
      <c r="I179" s="11"/>
      <c r="J179" s="11"/>
      <c r="K179" s="11"/>
    </row>
    <row r="180" spans="1:11" ht="15" customHeight="1">
      <c r="A180" s="12" t="s">
        <v>492</v>
      </c>
      <c r="B180" s="27">
        <v>34385.46</v>
      </c>
      <c r="C180" s="27">
        <v>32811.839999999997</v>
      </c>
      <c r="D180" s="27">
        <v>29122.22</v>
      </c>
      <c r="E180" s="27">
        <v>28290.05</v>
      </c>
      <c r="F180" s="27">
        <v>28951.84</v>
      </c>
      <c r="G180" s="27">
        <v>26453.78</v>
      </c>
      <c r="H180" s="27">
        <v>26097.13</v>
      </c>
      <c r="I180" s="27">
        <v>23842.22</v>
      </c>
      <c r="J180" s="27">
        <v>30020.080000000002</v>
      </c>
      <c r="K180" s="27">
        <v>30227.14</v>
      </c>
    </row>
    <row r="181" spans="1:11" ht="15" customHeight="1">
      <c r="A181" s="12" t="s">
        <v>493</v>
      </c>
      <c r="B181" s="27">
        <v>34545.07</v>
      </c>
      <c r="C181" s="27">
        <v>32993.300000000003</v>
      </c>
      <c r="D181" s="27">
        <v>29339</v>
      </c>
      <c r="E181" s="27">
        <v>30137.14</v>
      </c>
      <c r="F181" s="27">
        <v>31159.22</v>
      </c>
      <c r="G181" s="27">
        <v>27268</v>
      </c>
      <c r="H181" s="27">
        <v>26597.599999999999</v>
      </c>
      <c r="I181" s="27">
        <v>24581.75</v>
      </c>
      <c r="J181" s="27">
        <v>30287.34</v>
      </c>
      <c r="K181" s="27">
        <v>30408.43</v>
      </c>
    </row>
    <row r="182" spans="1:11" ht="15" customHeight="1">
      <c r="A182" s="12" t="s">
        <v>494</v>
      </c>
      <c r="B182" s="25">
        <v>6872.2</v>
      </c>
      <c r="C182" s="25">
        <v>5981.44</v>
      </c>
      <c r="D182" s="25">
        <v>5549.67</v>
      </c>
      <c r="E182" s="25">
        <v>5680.25</v>
      </c>
      <c r="F182" s="27"/>
      <c r="G182" s="27"/>
      <c r="H182" s="27"/>
      <c r="I182" s="27"/>
      <c r="J182" s="27"/>
      <c r="K182" s="27"/>
    </row>
    <row r="183" spans="1:11" ht="15" customHeight="1">
      <c r="A183" s="12" t="s">
        <v>495</v>
      </c>
      <c r="B183" s="25">
        <v>8484.2000000000007</v>
      </c>
      <c r="C183" s="25">
        <v>7483.43</v>
      </c>
      <c r="D183" s="25">
        <v>6097.05</v>
      </c>
      <c r="E183" s="25">
        <v>5685.3</v>
      </c>
      <c r="F183" s="27"/>
      <c r="G183" s="27"/>
      <c r="H183" s="27"/>
      <c r="I183" s="27"/>
      <c r="J183" s="27"/>
      <c r="K183" s="27"/>
    </row>
    <row r="184" spans="1:11" ht="15" customHeight="1">
      <c r="A184" s="10" t="s">
        <v>496</v>
      </c>
      <c r="B184" s="11"/>
      <c r="C184" s="11"/>
      <c r="D184" s="11"/>
      <c r="E184" s="11"/>
      <c r="F184" s="11"/>
      <c r="G184" s="11"/>
      <c r="H184" s="11"/>
      <c r="I184" s="11"/>
      <c r="J184" s="11"/>
      <c r="K184" s="11"/>
    </row>
    <row r="185" spans="1:11" ht="15" customHeight="1">
      <c r="A185" s="12" t="s">
        <v>497</v>
      </c>
      <c r="B185" s="27">
        <v>33928.17</v>
      </c>
      <c r="C185" s="27">
        <v>32124.42</v>
      </c>
      <c r="D185" s="27">
        <v>29321.39</v>
      </c>
      <c r="E185" s="25">
        <v>7936.68</v>
      </c>
      <c r="F185" s="25">
        <v>7304.47</v>
      </c>
      <c r="G185" s="25">
        <v>6269.64</v>
      </c>
      <c r="H185" s="25">
        <v>5212.0600000000004</v>
      </c>
      <c r="I185" s="27"/>
      <c r="J185" s="27">
        <v>10303.5</v>
      </c>
      <c r="K185" s="27"/>
    </row>
    <row r="186" spans="1:11" ht="15" customHeight="1">
      <c r="A186" s="16" t="s">
        <v>498</v>
      </c>
      <c r="B186" s="25">
        <v>1399.17</v>
      </c>
      <c r="C186" s="25">
        <v>1650.33</v>
      </c>
      <c r="D186" s="25">
        <v>466.09</v>
      </c>
      <c r="E186" s="25">
        <v>2012.6</v>
      </c>
      <c r="F186" s="25">
        <v>168.04</v>
      </c>
      <c r="G186" s="25">
        <v>472.69</v>
      </c>
      <c r="H186" s="25">
        <v>666.85</v>
      </c>
      <c r="I186" s="27"/>
      <c r="J186" s="25">
        <v>2203.86</v>
      </c>
      <c r="K186" s="27"/>
    </row>
    <row r="187" spans="1:11" ht="15" customHeight="1">
      <c r="A187" s="16" t="s">
        <v>499</v>
      </c>
      <c r="B187" s="25">
        <v>4135.6899999999996</v>
      </c>
      <c r="C187" s="25">
        <v>2679.46</v>
      </c>
      <c r="D187" s="25">
        <v>1688.21</v>
      </c>
      <c r="E187" s="25">
        <v>434.61</v>
      </c>
      <c r="F187" s="25">
        <v>1455.04</v>
      </c>
      <c r="G187" s="25">
        <v>1145.3699999999999</v>
      </c>
      <c r="H187" s="25">
        <v>1178.24</v>
      </c>
      <c r="I187" s="27"/>
      <c r="J187" s="25">
        <v>2285.79</v>
      </c>
      <c r="K187" s="27"/>
    </row>
    <row r="188" spans="1:11" ht="15" customHeight="1">
      <c r="A188" s="16" t="s">
        <v>500</v>
      </c>
      <c r="B188" s="25">
        <v>2880.31</v>
      </c>
      <c r="C188" s="25">
        <v>3809.26</v>
      </c>
      <c r="D188" s="25">
        <v>2740.96</v>
      </c>
      <c r="E188" s="25">
        <v>1574.2</v>
      </c>
      <c r="F188" s="25">
        <v>1519.96</v>
      </c>
      <c r="G188" s="25">
        <v>1483</v>
      </c>
      <c r="H188" s="25">
        <v>180.01</v>
      </c>
      <c r="I188" s="27"/>
      <c r="J188" s="25">
        <v>3043.24</v>
      </c>
      <c r="K188" s="27"/>
    </row>
    <row r="189" spans="1:11" ht="15" customHeight="1">
      <c r="A189" s="16" t="s">
        <v>501</v>
      </c>
      <c r="B189" s="25">
        <v>3527.41</v>
      </c>
      <c r="C189" s="25">
        <v>2652.97</v>
      </c>
      <c r="D189" s="25">
        <v>1457.87</v>
      </c>
      <c r="E189" s="25">
        <v>2555.86</v>
      </c>
      <c r="F189" s="25">
        <v>1586.16</v>
      </c>
      <c r="G189" s="25">
        <v>1550.53</v>
      </c>
      <c r="H189" s="25">
        <v>1558.71</v>
      </c>
      <c r="I189" s="27"/>
      <c r="J189" s="25">
        <v>1653.23</v>
      </c>
      <c r="K189" s="27"/>
    </row>
    <row r="190" spans="1:11" ht="15" customHeight="1">
      <c r="A190" s="16" t="s">
        <v>502</v>
      </c>
      <c r="B190" s="25">
        <v>1530.03</v>
      </c>
      <c r="C190" s="25">
        <v>3249</v>
      </c>
      <c r="D190" s="25">
        <v>2713.86</v>
      </c>
      <c r="E190" s="25">
        <v>1359.42</v>
      </c>
      <c r="F190" s="25">
        <v>2575.2800000000002</v>
      </c>
      <c r="G190" s="25">
        <v>1618.06</v>
      </c>
      <c r="H190" s="25">
        <v>1628.26</v>
      </c>
      <c r="I190" s="27"/>
      <c r="J190" s="25">
        <v>1117.3800000000001</v>
      </c>
      <c r="K190" s="27"/>
    </row>
    <row r="191" spans="1:11" ht="15" customHeight="1">
      <c r="A191" s="16" t="s">
        <v>503</v>
      </c>
      <c r="B191" s="27">
        <v>20455.55</v>
      </c>
      <c r="C191" s="27">
        <v>18083.400000000001</v>
      </c>
      <c r="D191" s="27">
        <v>20254.400000000001</v>
      </c>
      <c r="E191" s="27"/>
      <c r="F191" s="27"/>
      <c r="G191" s="27"/>
      <c r="H191" s="27"/>
      <c r="I191" s="27"/>
      <c r="J191" s="27"/>
      <c r="K191" s="27"/>
    </row>
    <row r="192" spans="1:11" ht="15" customHeight="1">
      <c r="A192" s="12" t="s">
        <v>504</v>
      </c>
      <c r="B192" s="25">
        <v>7016</v>
      </c>
      <c r="C192" s="25">
        <v>6488.73</v>
      </c>
      <c r="D192" s="25">
        <v>4429.17</v>
      </c>
      <c r="E192" s="25">
        <v>2008.81</v>
      </c>
      <c r="F192" s="25">
        <v>2975</v>
      </c>
      <c r="G192" s="25">
        <v>2628.37</v>
      </c>
      <c r="H192" s="25">
        <v>1358.25</v>
      </c>
      <c r="I192" s="27"/>
      <c r="J192" s="25">
        <v>5329.02</v>
      </c>
      <c r="K192" s="27"/>
    </row>
    <row r="193" spans="1:11" ht="15" customHeight="1">
      <c r="A193" s="12" t="s">
        <v>505</v>
      </c>
      <c r="B193" s="25">
        <v>5057.45</v>
      </c>
      <c r="C193" s="25">
        <v>5901.97</v>
      </c>
      <c r="D193" s="25">
        <v>4171.74</v>
      </c>
      <c r="E193" s="25">
        <v>3915.28</v>
      </c>
      <c r="F193" s="25">
        <v>4161.4399999999996</v>
      </c>
      <c r="G193" s="25">
        <v>3168.58</v>
      </c>
      <c r="H193" s="25">
        <v>3186.97</v>
      </c>
      <c r="I193" s="27"/>
      <c r="J193" s="25">
        <v>2770.61</v>
      </c>
      <c r="K193" s="27"/>
    </row>
    <row r="194" spans="1:11" ht="15" customHeight="1">
      <c r="A194" s="12" t="s">
        <v>506</v>
      </c>
      <c r="B194" s="27">
        <v>20455.55</v>
      </c>
      <c r="C194" s="27">
        <v>18083.400000000001</v>
      </c>
      <c r="D194" s="27">
        <v>20254.400000000001</v>
      </c>
      <c r="E194" s="27"/>
      <c r="F194" s="27"/>
      <c r="G194" s="27"/>
      <c r="H194" s="27"/>
      <c r="I194" s="27"/>
      <c r="J194" s="27"/>
      <c r="K194" s="27"/>
    </row>
    <row r="195" spans="1:11" ht="15" customHeight="1">
      <c r="A195" s="10" t="s">
        <v>507</v>
      </c>
      <c r="B195" s="11"/>
      <c r="C195" s="11"/>
      <c r="D195" s="11"/>
      <c r="E195" s="11"/>
      <c r="F195" s="11"/>
      <c r="G195" s="11"/>
      <c r="H195" s="11"/>
      <c r="I195" s="11"/>
      <c r="J195" s="11"/>
      <c r="K195" s="11"/>
    </row>
    <row r="196" spans="1:11" ht="15" customHeight="1">
      <c r="A196" s="12" t="s">
        <v>508</v>
      </c>
      <c r="B196" s="26">
        <v>17.260000000000002</v>
      </c>
      <c r="C196" s="26">
        <v>18.54</v>
      </c>
      <c r="D196" s="26">
        <v>31.16</v>
      </c>
      <c r="E196" s="26">
        <v>45.48</v>
      </c>
      <c r="F196" s="26">
        <v>57.29</v>
      </c>
      <c r="G196" s="26">
        <v>77.92</v>
      </c>
      <c r="H196" s="26">
        <v>99.55</v>
      </c>
      <c r="I196" s="27"/>
      <c r="J196" s="25">
        <v>139.66999999999999</v>
      </c>
      <c r="K196" s="27"/>
    </row>
    <row r="197" spans="1:11" ht="15" customHeight="1">
      <c r="A197" s="16" t="s">
        <v>509</v>
      </c>
      <c r="B197" s="26">
        <v>5.75</v>
      </c>
      <c r="C197" s="26">
        <v>5.3</v>
      </c>
      <c r="D197" s="26">
        <v>12.19</v>
      </c>
      <c r="E197" s="26">
        <v>20.21</v>
      </c>
      <c r="F197" s="26">
        <v>22.91</v>
      </c>
      <c r="G197" s="26">
        <v>25.97</v>
      </c>
      <c r="H197" s="26">
        <v>32.729999999999997</v>
      </c>
      <c r="I197" s="27"/>
      <c r="J197" s="26">
        <v>42.98</v>
      </c>
      <c r="K197" s="27"/>
    </row>
    <row r="198" spans="1:11" ht="15" customHeight="1">
      <c r="A198" s="16" t="s">
        <v>510</v>
      </c>
      <c r="B198" s="26">
        <v>5.75</v>
      </c>
      <c r="C198" s="26">
        <v>5.3</v>
      </c>
      <c r="D198" s="26">
        <v>6.77</v>
      </c>
      <c r="E198" s="26">
        <v>11.37</v>
      </c>
      <c r="F198" s="26">
        <v>19.100000000000001</v>
      </c>
      <c r="G198" s="26">
        <v>22.08</v>
      </c>
      <c r="H198" s="26">
        <v>25.91</v>
      </c>
      <c r="I198" s="27"/>
      <c r="J198" s="26">
        <v>33.58</v>
      </c>
      <c r="K198" s="27"/>
    </row>
    <row r="199" spans="1:11" ht="15" customHeight="1">
      <c r="A199" s="16" t="s">
        <v>511</v>
      </c>
      <c r="B199" s="26">
        <v>4.3099999999999996</v>
      </c>
      <c r="C199" s="26">
        <v>5.3</v>
      </c>
      <c r="D199" s="26">
        <v>6.77</v>
      </c>
      <c r="E199" s="26">
        <v>6.32</v>
      </c>
      <c r="F199" s="26">
        <v>10.18</v>
      </c>
      <c r="G199" s="26">
        <v>19.48</v>
      </c>
      <c r="H199" s="26">
        <v>21.82</v>
      </c>
      <c r="I199" s="27"/>
      <c r="J199" s="26">
        <v>25.52</v>
      </c>
      <c r="K199" s="27"/>
    </row>
    <row r="200" spans="1:11" ht="15" customHeight="1">
      <c r="A200" s="16" t="s">
        <v>512</v>
      </c>
      <c r="B200" s="26">
        <v>5.75</v>
      </c>
      <c r="C200" s="26">
        <v>3.97</v>
      </c>
      <c r="D200" s="26">
        <v>6.77</v>
      </c>
      <c r="E200" s="26">
        <v>6.32</v>
      </c>
      <c r="F200" s="26">
        <v>5.09</v>
      </c>
      <c r="G200" s="26">
        <v>10.39</v>
      </c>
      <c r="H200" s="26">
        <v>17.73</v>
      </c>
      <c r="I200" s="27"/>
      <c r="J200" s="26">
        <v>18.8</v>
      </c>
      <c r="K200" s="27"/>
    </row>
    <row r="201" spans="1:11" ht="15" customHeight="1">
      <c r="A201" s="16" t="s">
        <v>513</v>
      </c>
      <c r="B201" s="27">
        <v>0</v>
      </c>
      <c r="C201" s="26">
        <v>5.3</v>
      </c>
      <c r="D201" s="26">
        <v>5.42</v>
      </c>
      <c r="E201" s="26">
        <v>6.32</v>
      </c>
      <c r="F201" s="26">
        <v>5.09</v>
      </c>
      <c r="G201" s="26">
        <v>5.19</v>
      </c>
      <c r="H201" s="26">
        <v>10.91</v>
      </c>
      <c r="I201" s="27"/>
      <c r="J201" s="26">
        <v>16.12</v>
      </c>
      <c r="K201" s="27"/>
    </row>
    <row r="202" spans="1:11" ht="15" customHeight="1">
      <c r="A202" s="16" t="s">
        <v>514</v>
      </c>
      <c r="B202" s="27">
        <v>0</v>
      </c>
      <c r="C202" s="27">
        <v>0</v>
      </c>
      <c r="D202" s="26">
        <v>6.77</v>
      </c>
      <c r="E202" s="26">
        <v>10.11</v>
      </c>
      <c r="F202" s="26">
        <v>15.28</v>
      </c>
      <c r="G202" s="26">
        <v>20.78</v>
      </c>
      <c r="H202" s="26">
        <v>21.82</v>
      </c>
      <c r="I202" s="27"/>
      <c r="J202" s="26">
        <v>20.149999999999999</v>
      </c>
      <c r="K202" s="27"/>
    </row>
    <row r="203" spans="1:11" ht="15" customHeight="1">
      <c r="A203" s="16" t="s">
        <v>515</v>
      </c>
      <c r="B203" s="26">
        <v>4.3099999999999996</v>
      </c>
      <c r="C203" s="26">
        <v>6.62</v>
      </c>
      <c r="D203" s="26">
        <v>13.55</v>
      </c>
      <c r="E203" s="26">
        <v>15.16</v>
      </c>
      <c r="F203" s="26">
        <v>20.37</v>
      </c>
      <c r="G203" s="26">
        <v>25.97</v>
      </c>
      <c r="H203" s="26">
        <v>31.37</v>
      </c>
      <c r="I203" s="27"/>
      <c r="J203" s="26">
        <v>17.46</v>
      </c>
      <c r="K203" s="27"/>
    </row>
    <row r="204" spans="1:11" ht="15" customHeight="1">
      <c r="A204" s="12" t="s">
        <v>516</v>
      </c>
      <c r="B204" s="26">
        <v>10.07</v>
      </c>
      <c r="C204" s="26">
        <v>10.6</v>
      </c>
      <c r="D204" s="26">
        <v>13.55</v>
      </c>
      <c r="E204" s="26">
        <v>17.690000000000001</v>
      </c>
      <c r="F204" s="26">
        <v>29.28</v>
      </c>
      <c r="G204" s="26">
        <v>41.56</v>
      </c>
      <c r="H204" s="26">
        <v>47.73</v>
      </c>
      <c r="I204" s="27"/>
      <c r="J204" s="26">
        <v>59.09</v>
      </c>
      <c r="K204" s="27"/>
    </row>
    <row r="205" spans="1:11" ht="15" customHeight="1">
      <c r="A205" s="12" t="s">
        <v>517</v>
      </c>
      <c r="B205" s="26">
        <v>5.75</v>
      </c>
      <c r="C205" s="26">
        <v>9.27</v>
      </c>
      <c r="D205" s="26">
        <v>12.19</v>
      </c>
      <c r="E205" s="26">
        <v>12.63</v>
      </c>
      <c r="F205" s="26">
        <v>10.18</v>
      </c>
      <c r="G205" s="26">
        <v>15.58</v>
      </c>
      <c r="H205" s="26">
        <v>28.64</v>
      </c>
      <c r="I205" s="27"/>
      <c r="J205" s="26">
        <v>34.92</v>
      </c>
      <c r="K205" s="27"/>
    </row>
    <row r="206" spans="1:11" ht="15" customHeight="1">
      <c r="A206" s="12" t="s">
        <v>518</v>
      </c>
      <c r="B206" s="27">
        <v>0</v>
      </c>
      <c r="C206" s="27">
        <v>0</v>
      </c>
      <c r="D206" s="26">
        <v>6.77</v>
      </c>
      <c r="E206" s="26">
        <v>10.11</v>
      </c>
      <c r="F206" s="26">
        <v>15.28</v>
      </c>
      <c r="G206" s="26">
        <v>20.78</v>
      </c>
      <c r="H206" s="26">
        <v>21.82</v>
      </c>
      <c r="I206" s="27"/>
      <c r="J206" s="26">
        <v>20.149999999999999</v>
      </c>
      <c r="K206" s="27"/>
    </row>
    <row r="207" spans="1:11" ht="15" customHeight="1">
      <c r="A207" s="10" t="s">
        <v>519</v>
      </c>
      <c r="B207" s="11"/>
      <c r="C207" s="11"/>
      <c r="D207" s="11"/>
      <c r="E207" s="11"/>
      <c r="F207" s="11"/>
      <c r="G207" s="11"/>
      <c r="H207" s="11"/>
      <c r="I207" s="11"/>
      <c r="J207" s="11"/>
      <c r="K207" s="11"/>
    </row>
    <row r="208" spans="1:11" ht="15" customHeight="1">
      <c r="A208" s="12" t="s">
        <v>520</v>
      </c>
      <c r="B208" s="26">
        <v>5.62</v>
      </c>
      <c r="C208" s="26">
        <v>5.93</v>
      </c>
      <c r="D208" s="26">
        <v>7.3</v>
      </c>
      <c r="E208" s="26">
        <v>7.97</v>
      </c>
      <c r="F208" s="27"/>
      <c r="G208" s="27"/>
      <c r="H208" s="27"/>
      <c r="I208" s="27"/>
      <c r="J208" s="27"/>
      <c r="K208" s="27"/>
    </row>
    <row r="209" spans="1:11" ht="15" customHeight="1">
      <c r="A209" s="12" t="s">
        <v>521</v>
      </c>
      <c r="B209" s="26">
        <v>12.38</v>
      </c>
      <c r="C209" s="26">
        <v>12.26</v>
      </c>
      <c r="D209" s="26">
        <v>11.33</v>
      </c>
      <c r="E209" s="26">
        <v>8.1199999999999992</v>
      </c>
      <c r="F209" s="27"/>
      <c r="G209" s="27"/>
      <c r="H209" s="27"/>
      <c r="I209" s="27"/>
      <c r="J209" s="27"/>
      <c r="K209" s="27"/>
    </row>
    <row r="210" spans="1:11" ht="15" customHeight="1">
      <c r="A210" s="12" t="s">
        <v>522</v>
      </c>
      <c r="B210" s="24">
        <v>0</v>
      </c>
      <c r="C210" s="24">
        <v>0</v>
      </c>
      <c r="D210" s="24">
        <v>0</v>
      </c>
      <c r="E210" s="24">
        <v>0</v>
      </c>
      <c r="F210" s="24"/>
      <c r="G210" s="24"/>
      <c r="H210" s="24"/>
      <c r="I210" s="24"/>
      <c r="J210" s="24"/>
      <c r="K210" s="24"/>
    </row>
    <row r="211" spans="1:11" ht="15" customHeight="1">
      <c r="A211" s="12" t="s">
        <v>523</v>
      </c>
      <c r="B211" s="24">
        <v>0</v>
      </c>
      <c r="C211" s="24">
        <v>0</v>
      </c>
      <c r="D211" s="24">
        <v>0</v>
      </c>
      <c r="E211" s="24">
        <v>0</v>
      </c>
      <c r="F211" s="24"/>
      <c r="G211" s="24"/>
      <c r="H211" s="24"/>
      <c r="I211" s="24"/>
      <c r="J211" s="24"/>
      <c r="K211" s="24"/>
    </row>
    <row r="212" spans="1:11" ht="15" customHeight="1">
      <c r="A212" s="10" t="s">
        <v>255</v>
      </c>
      <c r="B212" s="11"/>
      <c r="C212" s="11"/>
      <c r="D212" s="11"/>
      <c r="E212" s="11"/>
      <c r="F212" s="11"/>
      <c r="G212" s="11"/>
      <c r="H212" s="11"/>
      <c r="I212" s="11"/>
      <c r="J212" s="11"/>
      <c r="K212" s="11"/>
    </row>
    <row r="213" spans="1:11" ht="15" customHeight="1">
      <c r="A213" s="12" t="s">
        <v>524</v>
      </c>
      <c r="B213" s="25">
        <v>1819.07</v>
      </c>
      <c r="C213" s="25">
        <v>634.44000000000005</v>
      </c>
      <c r="D213" s="25">
        <v>646.29</v>
      </c>
      <c r="E213" s="27"/>
      <c r="F213" s="27"/>
      <c r="G213" s="27"/>
      <c r="H213" s="27"/>
      <c r="I213" s="27"/>
      <c r="J213" s="27">
        <v>0</v>
      </c>
      <c r="K213" s="26">
        <v>1.38</v>
      </c>
    </row>
    <row r="214" spans="1:11" ht="15" customHeight="1">
      <c r="A214" s="12" t="s">
        <v>525</v>
      </c>
      <c r="B214" s="20">
        <v>-3353.42</v>
      </c>
      <c r="C214" s="20">
        <v>-3913.9</v>
      </c>
      <c r="D214" s="20">
        <v>-2307.39</v>
      </c>
      <c r="E214" s="20">
        <v>-3336.64</v>
      </c>
      <c r="F214" s="20">
        <v>-3849.55</v>
      </c>
      <c r="G214" s="20">
        <v>-3954.24</v>
      </c>
      <c r="H214" s="20">
        <v>-3557.89</v>
      </c>
      <c r="I214" s="20">
        <v>-2001</v>
      </c>
      <c r="J214" s="20">
        <v>-5875.62</v>
      </c>
      <c r="K214" s="20">
        <v>-3726.84</v>
      </c>
    </row>
    <row r="215" spans="1:11" ht="15" customHeight="1">
      <c r="A215" s="12" t="s">
        <v>526</v>
      </c>
      <c r="B215" s="27">
        <v>66600.97</v>
      </c>
      <c r="C215" s="27">
        <v>56969.39</v>
      </c>
      <c r="D215" s="27">
        <v>54643.12</v>
      </c>
      <c r="E215" s="27">
        <v>48453.919999999998</v>
      </c>
      <c r="F215" s="27">
        <v>47243.58</v>
      </c>
      <c r="G215" s="27">
        <v>46822.32</v>
      </c>
      <c r="H215" s="27">
        <v>46472.17</v>
      </c>
      <c r="I215" s="27">
        <v>45341.34</v>
      </c>
      <c r="J215" s="27">
        <v>50135.53</v>
      </c>
      <c r="K215" s="27">
        <v>63029.73</v>
      </c>
    </row>
    <row r="216" spans="1:11" ht="15" customHeight="1">
      <c r="A216" s="12" t="s">
        <v>527</v>
      </c>
      <c r="B216" s="25">
        <v>159.62</v>
      </c>
      <c r="C216" s="25">
        <v>181.46</v>
      </c>
      <c r="D216" s="25">
        <v>216.78</v>
      </c>
      <c r="E216" s="25">
        <v>1847.09</v>
      </c>
      <c r="F216" s="25">
        <v>2207.38</v>
      </c>
      <c r="G216" s="25">
        <v>814.22</v>
      </c>
      <c r="H216" s="25">
        <v>500.48</v>
      </c>
      <c r="I216" s="25">
        <v>739.53</v>
      </c>
      <c r="J216" s="25">
        <v>267.26</v>
      </c>
      <c r="K216" s="25">
        <v>181.29</v>
      </c>
    </row>
    <row r="217" spans="1:11" ht="15" customHeight="1">
      <c r="A217" s="12" t="s">
        <v>528</v>
      </c>
      <c r="B217" s="25">
        <v>159.62</v>
      </c>
      <c r="C217" s="25">
        <v>181.46</v>
      </c>
      <c r="D217" s="25">
        <v>216.78</v>
      </c>
      <c r="E217" s="25">
        <v>1847.09</v>
      </c>
      <c r="F217" s="25">
        <v>2207.38</v>
      </c>
      <c r="G217" s="25">
        <v>814.22</v>
      </c>
      <c r="H217" s="25">
        <v>500.48</v>
      </c>
      <c r="I217" s="25">
        <v>739.53</v>
      </c>
      <c r="J217" s="25">
        <v>267.26</v>
      </c>
      <c r="K217" s="25">
        <v>181.29</v>
      </c>
    </row>
    <row r="218" spans="1:11" ht="15" customHeight="1">
      <c r="A218" s="12" t="s">
        <v>529</v>
      </c>
      <c r="B218" s="27">
        <v>36364.14</v>
      </c>
      <c r="C218" s="27">
        <v>33627.730000000003</v>
      </c>
      <c r="D218" s="27">
        <v>29985.29</v>
      </c>
      <c r="E218" s="27">
        <v>30137.14</v>
      </c>
      <c r="F218" s="27">
        <v>31159.22</v>
      </c>
      <c r="G218" s="27">
        <v>27268</v>
      </c>
      <c r="H218" s="27">
        <v>26694.43</v>
      </c>
      <c r="I218" s="27">
        <v>24581.75</v>
      </c>
      <c r="J218" s="27">
        <v>30287.34</v>
      </c>
      <c r="K218" s="27">
        <v>30409.82</v>
      </c>
    </row>
    <row r="219" spans="1:11" ht="15" customHeight="1">
      <c r="A219" s="12" t="s">
        <v>530</v>
      </c>
      <c r="B219" s="25">
        <v>937.58</v>
      </c>
      <c r="C219" s="25">
        <v>878.14</v>
      </c>
      <c r="D219" s="25">
        <v>842.75</v>
      </c>
      <c r="E219" s="25">
        <v>827.53</v>
      </c>
      <c r="F219" s="25">
        <v>770.17</v>
      </c>
      <c r="G219" s="25">
        <v>738.9</v>
      </c>
      <c r="H219" s="25">
        <v>694.12</v>
      </c>
      <c r="I219" s="25">
        <v>636.4</v>
      </c>
      <c r="J219" s="25">
        <v>687.62</v>
      </c>
      <c r="K219" s="25">
        <v>700.25</v>
      </c>
    </row>
    <row r="220" spans="1:11" ht="15" customHeight="1">
      <c r="A220" s="12" t="s">
        <v>531</v>
      </c>
      <c r="B220" s="27">
        <v>54114.82</v>
      </c>
      <c r="C220" s="27">
        <v>47270.080000000002</v>
      </c>
      <c r="D220" s="27">
        <v>43542.42</v>
      </c>
      <c r="E220" s="27">
        <v>39250.050000000003</v>
      </c>
      <c r="F220" s="27">
        <v>38164.54</v>
      </c>
      <c r="G220" s="27">
        <v>35511.519999999997</v>
      </c>
      <c r="H220" s="27">
        <v>35389.379999999997</v>
      </c>
      <c r="I220" s="27">
        <v>28778.69</v>
      </c>
      <c r="J220" s="27">
        <v>38401.74</v>
      </c>
      <c r="K220" s="27">
        <v>47417.95</v>
      </c>
    </row>
    <row r="221" spans="1:11" ht="15" customHeight="1">
      <c r="A221" s="12" t="s">
        <v>532</v>
      </c>
      <c r="B221" s="27">
        <v>54114.82</v>
      </c>
      <c r="C221" s="27">
        <v>47270.080000000002</v>
      </c>
      <c r="D221" s="27">
        <v>43542.42</v>
      </c>
      <c r="E221" s="27">
        <v>39250.050000000003</v>
      </c>
      <c r="F221" s="27">
        <v>38164.54</v>
      </c>
      <c r="G221" s="27">
        <v>35511.519999999997</v>
      </c>
      <c r="H221" s="27">
        <v>35389.379999999997</v>
      </c>
      <c r="I221" s="27">
        <v>28778.69</v>
      </c>
      <c r="J221" s="27">
        <v>38401.74</v>
      </c>
      <c r="K221" s="27">
        <v>47417.95</v>
      </c>
    </row>
    <row r="222" spans="1:11" ht="15" customHeight="1">
      <c r="A222" s="12" t="s">
        <v>533</v>
      </c>
      <c r="B222" s="27">
        <v>10513.22</v>
      </c>
      <c r="C222" s="25">
        <v>8202.6299999999992</v>
      </c>
      <c r="D222" s="25">
        <v>8856.98</v>
      </c>
      <c r="E222" s="25">
        <v>7714.32</v>
      </c>
      <c r="F222" s="25">
        <v>8400.5300000000007</v>
      </c>
      <c r="G222" s="25">
        <v>7894.19</v>
      </c>
      <c r="H222" s="25">
        <v>8482.2099999999991</v>
      </c>
      <c r="I222" s="25">
        <v>9704.41</v>
      </c>
      <c r="J222" s="27">
        <v>12041.34</v>
      </c>
      <c r="K222" s="27">
        <v>17199.11</v>
      </c>
    </row>
    <row r="223" spans="1:11" ht="15" customHeight="1">
      <c r="A223" s="12" t="s">
        <v>534</v>
      </c>
      <c r="B223" s="27">
        <v>17910.29</v>
      </c>
      <c r="C223" s="27">
        <v>13823.81</v>
      </c>
      <c r="D223" s="27">
        <v>13773.91</v>
      </c>
      <c r="E223" s="27">
        <v>10960</v>
      </c>
      <c r="F223" s="25">
        <v>9212.7000000000007</v>
      </c>
      <c r="G223" s="25">
        <v>9057.74</v>
      </c>
      <c r="H223" s="25">
        <v>9195.43</v>
      </c>
      <c r="I223" s="25">
        <v>4936.47</v>
      </c>
      <c r="J223" s="25">
        <v>8381.66</v>
      </c>
      <c r="K223" s="27">
        <v>17189.419999999998</v>
      </c>
    </row>
    <row r="224" spans="1:11" ht="15" customHeight="1">
      <c r="A224" s="12" t="s">
        <v>535</v>
      </c>
      <c r="B224" s="27">
        <v>11650.68</v>
      </c>
      <c r="C224" s="25">
        <v>7017.2</v>
      </c>
      <c r="D224" s="25">
        <v>6808.37</v>
      </c>
      <c r="E224" s="25">
        <v>3862.21</v>
      </c>
      <c r="F224" s="25">
        <v>1968.06</v>
      </c>
      <c r="G224" s="25">
        <v>1658.31</v>
      </c>
      <c r="H224" s="25">
        <v>1504.16</v>
      </c>
      <c r="I224" s="20">
        <v>-2129.29</v>
      </c>
      <c r="J224" s="25">
        <v>675.53</v>
      </c>
      <c r="K224" s="25">
        <v>8308.94</v>
      </c>
    </row>
    <row r="225" spans="1:11" ht="15" customHeight="1">
      <c r="A225" s="12" t="s">
        <v>536</v>
      </c>
      <c r="B225" s="25">
        <v>9831.61</v>
      </c>
      <c r="C225" s="25">
        <v>6382.77</v>
      </c>
      <c r="D225" s="25">
        <v>6162.09</v>
      </c>
      <c r="E225" s="25">
        <v>3862.21</v>
      </c>
      <c r="F225" s="25">
        <v>1968.06</v>
      </c>
      <c r="G225" s="25">
        <v>1658.31</v>
      </c>
      <c r="H225" s="25">
        <v>1407.34</v>
      </c>
      <c r="I225" s="20">
        <v>-2129.29</v>
      </c>
      <c r="J225" s="25">
        <v>675.53</v>
      </c>
      <c r="K225" s="25">
        <v>8307.5499999999993</v>
      </c>
    </row>
    <row r="226" spans="1:11" ht="15" customHeight="1">
      <c r="A226" s="12" t="s">
        <v>537</v>
      </c>
      <c r="B226" s="27">
        <v>52455.360000000001</v>
      </c>
      <c r="C226" s="27">
        <v>46817.1</v>
      </c>
      <c r="D226" s="27">
        <v>43112.92</v>
      </c>
      <c r="E226" s="27">
        <v>41097.14</v>
      </c>
      <c r="F226" s="27">
        <v>40371.919999999998</v>
      </c>
      <c r="G226" s="27">
        <v>36325.74</v>
      </c>
      <c r="H226" s="27">
        <v>35793.03</v>
      </c>
      <c r="I226" s="27">
        <v>29518.22</v>
      </c>
      <c r="J226" s="27">
        <v>38669</v>
      </c>
      <c r="K226" s="27">
        <v>47597.86</v>
      </c>
    </row>
    <row r="227" spans="1:11" ht="15" customHeight="1">
      <c r="A227" s="12" t="s">
        <v>538</v>
      </c>
      <c r="B227" s="27">
        <v>54274.43</v>
      </c>
      <c r="C227" s="27">
        <v>47451.54</v>
      </c>
      <c r="D227" s="27">
        <v>43759.21</v>
      </c>
      <c r="E227" s="27">
        <v>41097.14</v>
      </c>
      <c r="F227" s="27">
        <v>40371.919999999998</v>
      </c>
      <c r="G227" s="27">
        <v>36325.74</v>
      </c>
      <c r="H227" s="27">
        <v>35889.86</v>
      </c>
      <c r="I227" s="27">
        <v>29518.22</v>
      </c>
      <c r="J227" s="27">
        <v>38669</v>
      </c>
      <c r="K227" s="27">
        <v>47599.24</v>
      </c>
    </row>
    <row r="228" spans="1:11" ht="15" customHeight="1">
      <c r="A228" s="12" t="s">
        <v>539</v>
      </c>
      <c r="B228" s="27">
        <v>67653.59</v>
      </c>
      <c r="C228" s="27">
        <v>57458.13</v>
      </c>
      <c r="D228" s="27">
        <v>57109.04</v>
      </c>
      <c r="E228" s="27">
        <v>51819.61</v>
      </c>
      <c r="F228" s="27">
        <v>50232.58</v>
      </c>
      <c r="G228" s="27">
        <v>48618.29</v>
      </c>
      <c r="H228" s="27">
        <v>48314.53</v>
      </c>
      <c r="I228" s="27">
        <v>47973.71</v>
      </c>
      <c r="J228" s="27">
        <v>48377.55</v>
      </c>
      <c r="K228" s="27">
        <v>64340.28</v>
      </c>
    </row>
    <row r="229" spans="1:11" ht="15" customHeight="1">
      <c r="A229" s="12" t="s">
        <v>540</v>
      </c>
      <c r="B229" s="27">
        <v>62768.7</v>
      </c>
      <c r="C229" s="27">
        <v>53749.53</v>
      </c>
      <c r="D229" s="27">
        <v>51587.82</v>
      </c>
      <c r="E229" s="27">
        <v>46211.38</v>
      </c>
      <c r="F229" s="27">
        <v>44723.040000000001</v>
      </c>
      <c r="G229" s="27">
        <v>44462.77</v>
      </c>
      <c r="H229" s="27">
        <v>43710.68</v>
      </c>
      <c r="I229" s="27">
        <v>42169.42</v>
      </c>
      <c r="J229" s="27">
        <v>46440.94</v>
      </c>
      <c r="K229" s="27">
        <v>59003.96</v>
      </c>
    </row>
    <row r="230" spans="1:11" ht="15" customHeight="1">
      <c r="A230" s="12" t="s">
        <v>541</v>
      </c>
      <c r="B230" s="27"/>
      <c r="C230" s="27"/>
      <c r="D230" s="27"/>
      <c r="E230" s="27"/>
      <c r="F230" s="27"/>
      <c r="G230" s="27"/>
      <c r="H230" s="27"/>
      <c r="I230" s="27"/>
      <c r="J230" s="25">
        <v>1016.65</v>
      </c>
      <c r="K230" s="25">
        <v>1094.6600000000001</v>
      </c>
    </row>
    <row r="231" spans="1:11" ht="15" customHeight="1">
      <c r="A231" s="12" t="s">
        <v>542</v>
      </c>
      <c r="B231" s="20">
        <v>-3193.8</v>
      </c>
      <c r="C231" s="20">
        <v>-3732.44</v>
      </c>
      <c r="D231" s="20">
        <v>-2090.61</v>
      </c>
      <c r="E231" s="20">
        <v>-1489.55</v>
      </c>
      <c r="F231" s="20">
        <v>-1642.17</v>
      </c>
      <c r="G231" s="20">
        <v>-3140.01</v>
      </c>
      <c r="H231" s="20">
        <v>-3057.42</v>
      </c>
      <c r="I231" s="20">
        <v>-1261.47</v>
      </c>
      <c r="J231" s="20">
        <v>-5608.37</v>
      </c>
      <c r="K231" s="20">
        <v>-3545.55</v>
      </c>
    </row>
    <row r="232" spans="1:11" ht="15" customHeight="1">
      <c r="A232" s="12" t="s">
        <v>543</v>
      </c>
      <c r="B232" s="20">
        <v>-3353.42</v>
      </c>
      <c r="C232" s="20">
        <v>-3913.9</v>
      </c>
      <c r="D232" s="20">
        <v>-2307.39</v>
      </c>
      <c r="E232" s="20">
        <v>-3336.64</v>
      </c>
      <c r="F232" s="20">
        <v>-3849.55</v>
      </c>
      <c r="G232" s="20">
        <v>-3954.24</v>
      </c>
      <c r="H232" s="20">
        <v>-3557.89</v>
      </c>
      <c r="I232" s="20">
        <v>-2001</v>
      </c>
      <c r="J232" s="20">
        <v>-5875.62</v>
      </c>
      <c r="K232" s="20">
        <v>-3726.84</v>
      </c>
    </row>
    <row r="233" spans="1:11" ht="15" customHeight="1">
      <c r="A233" s="12" t="s">
        <v>544</v>
      </c>
      <c r="B233" s="20">
        <v>-2683.31</v>
      </c>
      <c r="C233" s="20">
        <v>-3230.46</v>
      </c>
      <c r="D233" s="20">
        <v>-1422.64</v>
      </c>
      <c r="E233" s="20">
        <v>-1092.8399999999999</v>
      </c>
      <c r="F233" s="20">
        <v>-1068.05</v>
      </c>
      <c r="G233" s="20">
        <v>-1398.59</v>
      </c>
      <c r="H233" s="20">
        <v>-1689.62</v>
      </c>
      <c r="I233" s="20">
        <v>-495.53</v>
      </c>
      <c r="J233" s="20">
        <v>-5114.1400000000003</v>
      </c>
      <c r="K233" s="20">
        <v>-2913.11</v>
      </c>
    </row>
    <row r="234" spans="1:11" ht="15" customHeight="1">
      <c r="A234" s="12" t="s">
        <v>545</v>
      </c>
      <c r="B234" s="27">
        <v>17910.29</v>
      </c>
      <c r="C234" s="27">
        <v>13823.81</v>
      </c>
      <c r="D234" s="27">
        <v>13773.91</v>
      </c>
      <c r="E234" s="27">
        <v>10960</v>
      </c>
      <c r="F234" s="25">
        <v>9212.7000000000007</v>
      </c>
      <c r="G234" s="25">
        <v>9057.74</v>
      </c>
      <c r="H234" s="25">
        <v>9195.43</v>
      </c>
      <c r="I234" s="25">
        <v>4936.47</v>
      </c>
      <c r="J234" s="25">
        <v>8381.66</v>
      </c>
      <c r="K234" s="27">
        <v>17189.419999999998</v>
      </c>
    </row>
    <row r="235" spans="1:11" ht="15" customHeight="1">
      <c r="A235" s="10" t="s">
        <v>546</v>
      </c>
      <c r="B235" s="11"/>
      <c r="C235" s="11"/>
      <c r="D235" s="11"/>
      <c r="E235" s="11"/>
      <c r="F235" s="11"/>
      <c r="G235" s="11"/>
      <c r="H235" s="11"/>
      <c r="I235" s="11"/>
      <c r="J235" s="11"/>
      <c r="K235" s="11"/>
    </row>
    <row r="236" spans="1:11" ht="15" customHeight="1">
      <c r="A236" s="12" t="s">
        <v>547</v>
      </c>
      <c r="B236" s="27">
        <v>53295</v>
      </c>
      <c r="C236" s="27">
        <v>57291</v>
      </c>
      <c r="D236" s="27">
        <v>60610</v>
      </c>
      <c r="E236" s="27">
        <v>63973</v>
      </c>
      <c r="F236" s="27">
        <v>67527</v>
      </c>
      <c r="G236" s="27">
        <v>70622</v>
      </c>
      <c r="H236" s="27">
        <v>74813</v>
      </c>
      <c r="I236" s="27">
        <v>79916</v>
      </c>
      <c r="J236" s="27">
        <v>85173</v>
      </c>
      <c r="K236" s="27">
        <v>90633</v>
      </c>
    </row>
    <row r="237" spans="1:11" ht="15" customHeight="1">
      <c r="A237" s="10" t="s">
        <v>548</v>
      </c>
      <c r="B237" s="11"/>
      <c r="C237" s="11"/>
      <c r="D237" s="11"/>
      <c r="E237" s="11"/>
      <c r="F237" s="11"/>
      <c r="G237" s="11"/>
      <c r="H237" s="11"/>
      <c r="I237" s="11"/>
      <c r="J237" s="11"/>
      <c r="K237" s="11"/>
    </row>
    <row r="238" spans="1:11" ht="15" customHeight="1">
      <c r="A238" s="12" t="s">
        <v>549</v>
      </c>
      <c r="B238" s="25">
        <v>349.43</v>
      </c>
      <c r="C238" s="25">
        <v>299.33999999999997</v>
      </c>
      <c r="D238" s="25">
        <v>399.7</v>
      </c>
      <c r="E238" s="25">
        <v>391.65</v>
      </c>
      <c r="F238" s="25">
        <v>388.27</v>
      </c>
      <c r="G238" s="25">
        <v>354.52</v>
      </c>
      <c r="H238" s="25">
        <v>394.11</v>
      </c>
      <c r="I238" s="25">
        <v>2356.9299999999998</v>
      </c>
      <c r="J238" s="25">
        <v>2628.25</v>
      </c>
      <c r="K238" s="25">
        <v>2882.66</v>
      </c>
    </row>
    <row r="239" spans="1:11" ht="15" customHeight="1">
      <c r="A239" s="16" t="s">
        <v>550</v>
      </c>
      <c r="B239" s="26">
        <v>87.72</v>
      </c>
      <c r="C239" s="26">
        <v>71.52</v>
      </c>
      <c r="D239" s="26">
        <v>75.87</v>
      </c>
      <c r="E239" s="26">
        <v>68.22</v>
      </c>
      <c r="F239" s="26">
        <v>63.65</v>
      </c>
      <c r="G239" s="26">
        <v>51.94</v>
      </c>
      <c r="H239" s="26">
        <v>46.37</v>
      </c>
      <c r="I239" s="25">
        <v>183.62</v>
      </c>
      <c r="J239" s="25">
        <v>167.88</v>
      </c>
      <c r="K239" s="25">
        <v>254.64</v>
      </c>
    </row>
    <row r="240" spans="1:11" ht="15" customHeight="1">
      <c r="A240" s="16" t="s">
        <v>551</v>
      </c>
      <c r="B240" s="26">
        <v>80.53</v>
      </c>
      <c r="C240" s="26">
        <v>62.25</v>
      </c>
      <c r="D240" s="26">
        <v>70.45</v>
      </c>
      <c r="E240" s="26">
        <v>68.22</v>
      </c>
      <c r="F240" s="26">
        <v>62.38</v>
      </c>
      <c r="G240" s="26">
        <v>51.94</v>
      </c>
      <c r="H240" s="26">
        <v>49.09</v>
      </c>
      <c r="I240" s="25">
        <v>160.99</v>
      </c>
      <c r="J240" s="25">
        <v>190.71</v>
      </c>
      <c r="K240" s="25">
        <v>164.68</v>
      </c>
    </row>
    <row r="241" spans="1:11" ht="15" customHeight="1">
      <c r="A241" s="16" t="s">
        <v>552</v>
      </c>
      <c r="B241" s="26">
        <v>69.02</v>
      </c>
      <c r="C241" s="26">
        <v>56.95</v>
      </c>
      <c r="D241" s="26">
        <v>66.39</v>
      </c>
      <c r="E241" s="26">
        <v>60.64</v>
      </c>
      <c r="F241" s="26">
        <v>58.56</v>
      </c>
      <c r="G241" s="26">
        <v>51.94</v>
      </c>
      <c r="H241" s="26">
        <v>46.37</v>
      </c>
      <c r="I241" s="25">
        <v>128.29</v>
      </c>
      <c r="J241" s="25">
        <v>165.19</v>
      </c>
      <c r="K241" s="25">
        <v>186.83</v>
      </c>
    </row>
    <row r="242" spans="1:11" ht="15" customHeight="1">
      <c r="A242" s="16" t="s">
        <v>553</v>
      </c>
      <c r="B242" s="26">
        <v>61.83</v>
      </c>
      <c r="C242" s="26">
        <v>49.01</v>
      </c>
      <c r="D242" s="26">
        <v>60.97</v>
      </c>
      <c r="E242" s="26">
        <v>56.85</v>
      </c>
      <c r="F242" s="26">
        <v>48.37</v>
      </c>
      <c r="G242" s="26">
        <v>46.75</v>
      </c>
      <c r="H242" s="26">
        <v>40.909999999999997</v>
      </c>
      <c r="I242" s="25">
        <v>155.94999999999999</v>
      </c>
      <c r="J242" s="25">
        <v>130.27000000000001</v>
      </c>
      <c r="K242" s="25">
        <v>160.53</v>
      </c>
    </row>
    <row r="243" spans="1:11" ht="15" customHeight="1">
      <c r="A243" s="16" t="s">
        <v>554</v>
      </c>
      <c r="B243" s="26">
        <v>40.26</v>
      </c>
      <c r="C243" s="26">
        <v>43.71</v>
      </c>
      <c r="D243" s="26">
        <v>52.84</v>
      </c>
      <c r="E243" s="26">
        <v>51.8</v>
      </c>
      <c r="F243" s="26">
        <v>45.83</v>
      </c>
      <c r="G243" s="26">
        <v>37.659999999999997</v>
      </c>
      <c r="H243" s="26">
        <v>38.18</v>
      </c>
      <c r="I243" s="25">
        <v>139.6</v>
      </c>
      <c r="J243" s="25">
        <v>159.82</v>
      </c>
      <c r="K243" s="25">
        <v>125.93</v>
      </c>
    </row>
    <row r="244" spans="1:11" ht="15" customHeight="1">
      <c r="A244" s="16" t="s">
        <v>555</v>
      </c>
      <c r="B244" s="26">
        <v>66.150000000000006</v>
      </c>
      <c r="C244" s="26">
        <v>62.25</v>
      </c>
      <c r="D244" s="25">
        <v>142.26</v>
      </c>
      <c r="E244" s="25">
        <v>168.03</v>
      </c>
      <c r="F244" s="25">
        <v>187.13</v>
      </c>
      <c r="G244" s="25">
        <v>199.98</v>
      </c>
      <c r="H244" s="25">
        <v>173.19</v>
      </c>
      <c r="I244" s="25">
        <v>1588.48</v>
      </c>
      <c r="J244" s="25">
        <v>1814.39</v>
      </c>
      <c r="K244" s="25">
        <v>1990.05</v>
      </c>
    </row>
    <row r="245" spans="1:11" ht="15" customHeight="1">
      <c r="A245" s="16" t="s">
        <v>556</v>
      </c>
      <c r="B245" s="26">
        <v>56.08</v>
      </c>
      <c r="C245" s="26">
        <v>46.36</v>
      </c>
      <c r="D245" s="26">
        <v>69.099999999999994</v>
      </c>
      <c r="E245" s="26">
        <v>82.12</v>
      </c>
      <c r="F245" s="26">
        <v>77.650000000000006</v>
      </c>
      <c r="G245" s="26">
        <v>85.71</v>
      </c>
      <c r="H245" s="27"/>
      <c r="I245" s="27"/>
      <c r="J245" s="27"/>
      <c r="K245" s="27"/>
    </row>
    <row r="246" spans="1:11" ht="15" customHeight="1">
      <c r="A246" s="12" t="s">
        <v>557</v>
      </c>
      <c r="B246" s="25">
        <v>149.55000000000001</v>
      </c>
      <c r="C246" s="25">
        <v>119.21</v>
      </c>
      <c r="D246" s="25">
        <v>136.84</v>
      </c>
      <c r="E246" s="25">
        <v>128.87</v>
      </c>
      <c r="F246" s="25">
        <v>120.94</v>
      </c>
      <c r="G246" s="25">
        <v>103.89</v>
      </c>
      <c r="H246" s="26">
        <v>95.46</v>
      </c>
      <c r="I246" s="25">
        <v>289.27</v>
      </c>
      <c r="J246" s="25">
        <v>355.9</v>
      </c>
      <c r="K246" s="25">
        <v>351.51</v>
      </c>
    </row>
    <row r="247" spans="1:11" ht="15" customHeight="1">
      <c r="A247" s="12" t="s">
        <v>558</v>
      </c>
      <c r="B247" s="25">
        <v>102.1</v>
      </c>
      <c r="C247" s="26">
        <v>92.72</v>
      </c>
      <c r="D247" s="25">
        <v>113.81</v>
      </c>
      <c r="E247" s="25">
        <v>108.65</v>
      </c>
      <c r="F247" s="26">
        <v>94.2</v>
      </c>
      <c r="G247" s="26">
        <v>84.41</v>
      </c>
      <c r="H247" s="26">
        <v>79.09</v>
      </c>
      <c r="I247" s="25">
        <v>295.56</v>
      </c>
      <c r="J247" s="25">
        <v>290.08999999999997</v>
      </c>
      <c r="K247" s="25">
        <v>286.47000000000003</v>
      </c>
    </row>
    <row r="248" spans="1:11" ht="15" customHeight="1">
      <c r="A248" s="12" t="s">
        <v>559</v>
      </c>
      <c r="B248" s="26">
        <v>66.150000000000006</v>
      </c>
      <c r="C248" s="26">
        <v>62.25</v>
      </c>
      <c r="D248" s="25">
        <v>142.26</v>
      </c>
      <c r="E248" s="25">
        <v>168.03</v>
      </c>
      <c r="F248" s="25">
        <v>187.13</v>
      </c>
      <c r="G248" s="25">
        <v>199.98</v>
      </c>
      <c r="H248" s="25">
        <v>173.19</v>
      </c>
      <c r="I248" s="25">
        <v>1588.48</v>
      </c>
      <c r="J248" s="25">
        <v>1814.39</v>
      </c>
      <c r="K248" s="25">
        <v>1990.05</v>
      </c>
    </row>
    <row r="249" spans="1:11" ht="15" customHeight="1">
      <c r="A249" s="10" t="s">
        <v>560</v>
      </c>
      <c r="B249" s="11"/>
      <c r="C249" s="11"/>
      <c r="D249" s="11"/>
      <c r="E249" s="11"/>
      <c r="F249" s="11"/>
      <c r="G249" s="11"/>
      <c r="H249" s="11"/>
      <c r="I249" s="11"/>
      <c r="J249" s="11"/>
      <c r="K249" s="11"/>
    </row>
    <row r="250" spans="1:11" ht="15" customHeight="1">
      <c r="A250" s="12" t="s">
        <v>561</v>
      </c>
      <c r="B250" s="27">
        <v>12294</v>
      </c>
      <c r="C250" s="27">
        <v>12042</v>
      </c>
      <c r="D250" s="27">
        <v>12335</v>
      </c>
      <c r="E250" s="27">
        <v>12395</v>
      </c>
      <c r="F250" s="27">
        <v>12153</v>
      </c>
      <c r="G250" s="27">
        <v>12316</v>
      </c>
      <c r="H250" s="27">
        <v>12494</v>
      </c>
      <c r="I250" s="27">
        <v>15617</v>
      </c>
      <c r="J250" s="27">
        <v>15707</v>
      </c>
      <c r="K250" s="27">
        <v>15781</v>
      </c>
    </row>
    <row r="251" spans="1:11" ht="15" customHeight="1">
      <c r="A251" s="12" t="s">
        <v>562</v>
      </c>
      <c r="B251" s="27">
        <v>12294</v>
      </c>
      <c r="C251" s="27">
        <v>12042</v>
      </c>
      <c r="D251" s="27">
        <v>12335</v>
      </c>
      <c r="E251" s="27">
        <v>12395</v>
      </c>
      <c r="F251" s="27">
        <v>12153</v>
      </c>
      <c r="G251" s="27">
        <v>12316</v>
      </c>
      <c r="H251" s="27">
        <v>12494</v>
      </c>
      <c r="I251" s="27">
        <v>15617</v>
      </c>
      <c r="J251" s="27">
        <v>15707</v>
      </c>
      <c r="K251" s="27">
        <v>15781</v>
      </c>
    </row>
  </sheetData>
  <mergeCells count="70"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B17"/>
    <mergeCell ref="C12"/>
    <mergeCell ref="C13"/>
    <mergeCell ref="C14"/>
    <mergeCell ref="C15"/>
    <mergeCell ref="C16"/>
    <mergeCell ref="C17"/>
    <mergeCell ref="B12"/>
    <mergeCell ref="B13"/>
    <mergeCell ref="B14"/>
    <mergeCell ref="B15"/>
    <mergeCell ref="B16"/>
    <mergeCell ref="D17"/>
    <mergeCell ref="E12"/>
    <mergeCell ref="E13"/>
    <mergeCell ref="E14"/>
    <mergeCell ref="E15"/>
    <mergeCell ref="E16"/>
    <mergeCell ref="E17"/>
    <mergeCell ref="D12"/>
    <mergeCell ref="D13"/>
    <mergeCell ref="D14"/>
    <mergeCell ref="D15"/>
    <mergeCell ref="D16"/>
    <mergeCell ref="F17"/>
    <mergeCell ref="G12"/>
    <mergeCell ref="G13"/>
    <mergeCell ref="G14"/>
    <mergeCell ref="G15"/>
    <mergeCell ref="G16"/>
    <mergeCell ref="G17"/>
    <mergeCell ref="F12"/>
    <mergeCell ref="F13"/>
    <mergeCell ref="F14"/>
    <mergeCell ref="F15"/>
    <mergeCell ref="F16"/>
    <mergeCell ref="H17"/>
    <mergeCell ref="I12"/>
    <mergeCell ref="I13"/>
    <mergeCell ref="I14"/>
    <mergeCell ref="I15"/>
    <mergeCell ref="I16"/>
    <mergeCell ref="I17"/>
    <mergeCell ref="H12"/>
    <mergeCell ref="H13"/>
    <mergeCell ref="H14"/>
    <mergeCell ref="H15"/>
    <mergeCell ref="H16"/>
    <mergeCell ref="J17"/>
    <mergeCell ref="K12"/>
    <mergeCell ref="K13"/>
    <mergeCell ref="K14"/>
    <mergeCell ref="K15"/>
    <mergeCell ref="K16"/>
    <mergeCell ref="K17"/>
    <mergeCell ref="J12"/>
    <mergeCell ref="J13"/>
    <mergeCell ref="J14"/>
    <mergeCell ref="J15"/>
    <mergeCell ref="J16"/>
  </mergeCells>
  <phoneticPr fontId="8" type="noConversion"/>
  <pageMargins left="0.5" right="0.5" top="1" bottom="1" header="0.5" footer="0.75"/>
  <pageSetup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73"/>
  <sheetViews>
    <sheetView workbookViewId="0">
      <selection activeCell="B28" sqref="B28"/>
    </sheetView>
  </sheetViews>
  <sheetFormatPr defaultColWidth="8.77734375" defaultRowHeight="14.4" outlineLevelRow="1"/>
  <cols>
    <col min="1" max="1" width="85.6640625" customWidth="1"/>
    <col min="2" max="11" width="15.6640625" customWidth="1"/>
  </cols>
  <sheetData>
    <row r="1" spans="1:11" ht="15" customHeight="1">
      <c r="A1" s="1" t="s">
        <v>563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5" customHeight="1">
      <c r="A2" s="3" t="s">
        <v>0</v>
      </c>
      <c r="B2" s="4" t="s">
        <v>1</v>
      </c>
    </row>
    <row r="3" spans="1:11">
      <c r="A3" s="3" t="s">
        <v>2</v>
      </c>
      <c r="B3" s="3" t="s">
        <v>3</v>
      </c>
    </row>
    <row r="4" spans="1:11">
      <c r="A4" s="3" t="s">
        <v>4</v>
      </c>
      <c r="B4" s="3" t="s">
        <v>3</v>
      </c>
    </row>
    <row r="5" spans="1:11">
      <c r="A5" s="3" t="s">
        <v>5</v>
      </c>
      <c r="B5" s="3" t="s">
        <v>6</v>
      </c>
    </row>
    <row r="6" spans="1:11">
      <c r="A6" s="3" t="s">
        <v>7</v>
      </c>
      <c r="B6" s="3" t="s">
        <v>8</v>
      </c>
    </row>
    <row r="7" spans="1:11">
      <c r="A7" s="3" t="s">
        <v>9</v>
      </c>
      <c r="B7" s="3" t="s">
        <v>10</v>
      </c>
    </row>
    <row r="8" spans="1:11">
      <c r="A8" s="3" t="s">
        <v>11</v>
      </c>
      <c r="B8" s="3" t="s">
        <v>12</v>
      </c>
    </row>
    <row r="9" spans="1:11">
      <c r="A9" s="3" t="s">
        <v>13</v>
      </c>
      <c r="B9" s="3" t="s">
        <v>14</v>
      </c>
    </row>
    <row r="10" spans="1:11">
      <c r="A10" s="3" t="s">
        <v>15</v>
      </c>
      <c r="B10" s="5">
        <v>45975.877709039298</v>
      </c>
    </row>
    <row r="11" spans="1:11">
      <c r="A11" s="6" t="s">
        <v>16</v>
      </c>
      <c r="B11" s="211" t="s">
        <v>17</v>
      </c>
      <c r="C11" s="211" t="s">
        <v>18</v>
      </c>
      <c r="D11" s="211" t="s">
        <v>19</v>
      </c>
      <c r="E11" s="211" t="s">
        <v>20</v>
      </c>
      <c r="F11" s="211" t="s">
        <v>21</v>
      </c>
      <c r="G11" s="211" t="s">
        <v>22</v>
      </c>
      <c r="H11" s="211" t="s">
        <v>23</v>
      </c>
      <c r="I11" s="211" t="s">
        <v>24</v>
      </c>
      <c r="J11" s="211" t="s">
        <v>25</v>
      </c>
      <c r="K11" s="211" t="s">
        <v>26</v>
      </c>
    </row>
    <row r="12" spans="1:11" ht="15" customHeight="1" outlineLevel="1">
      <c r="A12" s="7" t="s">
        <v>27</v>
      </c>
      <c r="B12" s="209">
        <v>45657</v>
      </c>
      <c r="C12" s="209">
        <v>45291</v>
      </c>
      <c r="D12" s="209">
        <v>44926</v>
      </c>
      <c r="E12" s="209">
        <v>44561</v>
      </c>
      <c r="F12" s="209">
        <v>44196</v>
      </c>
      <c r="G12" s="209">
        <v>43830</v>
      </c>
      <c r="H12" s="209">
        <v>43465</v>
      </c>
      <c r="I12" s="209">
        <v>43100</v>
      </c>
      <c r="J12" s="209">
        <v>42735</v>
      </c>
      <c r="K12" s="209">
        <v>42369</v>
      </c>
    </row>
    <row r="13" spans="1:11" ht="15" customHeight="1" outlineLevel="1">
      <c r="A13" s="7" t="s">
        <v>28</v>
      </c>
      <c r="B13" s="209">
        <v>45656</v>
      </c>
      <c r="C13" s="209">
        <v>45290</v>
      </c>
      <c r="D13" s="209">
        <v>44925</v>
      </c>
      <c r="E13" s="209">
        <v>44560</v>
      </c>
      <c r="F13" s="209">
        <v>44195</v>
      </c>
      <c r="G13" s="209">
        <v>43829</v>
      </c>
      <c r="H13" s="209">
        <v>43464</v>
      </c>
      <c r="I13" s="209">
        <v>43464</v>
      </c>
      <c r="J13" s="209">
        <v>43464</v>
      </c>
      <c r="K13" s="209">
        <v>42368</v>
      </c>
    </row>
    <row r="14" spans="1:11" ht="15" customHeight="1" outlineLevel="1">
      <c r="A14" s="7" t="s">
        <v>29</v>
      </c>
      <c r="B14" s="210" t="s">
        <v>30</v>
      </c>
      <c r="C14" s="210" t="s">
        <v>30</v>
      </c>
      <c r="D14" s="210" t="s">
        <v>30</v>
      </c>
      <c r="E14" s="210" t="s">
        <v>30</v>
      </c>
      <c r="F14" s="210" t="s">
        <v>30</v>
      </c>
      <c r="G14" s="210" t="s">
        <v>30</v>
      </c>
      <c r="H14" s="210" t="s">
        <v>30</v>
      </c>
      <c r="I14" s="210" t="s">
        <v>30</v>
      </c>
      <c r="J14" s="210" t="s">
        <v>30</v>
      </c>
      <c r="K14" s="210" t="s">
        <v>30</v>
      </c>
    </row>
    <row r="15" spans="1:11" ht="15" customHeight="1" outlineLevel="1">
      <c r="A15" s="7" t="s">
        <v>31</v>
      </c>
      <c r="B15" s="210" t="s">
        <v>32</v>
      </c>
      <c r="C15" s="210" t="s">
        <v>32</v>
      </c>
      <c r="D15" s="210" t="s">
        <v>32</v>
      </c>
      <c r="E15" s="210" t="s">
        <v>32</v>
      </c>
      <c r="F15" s="210" t="s">
        <v>32</v>
      </c>
      <c r="G15" s="210" t="s">
        <v>32</v>
      </c>
      <c r="H15" s="210" t="s">
        <v>32</v>
      </c>
      <c r="I15" s="210" t="s">
        <v>32</v>
      </c>
      <c r="J15" s="210" t="s">
        <v>32</v>
      </c>
      <c r="K15" s="210" t="s">
        <v>32</v>
      </c>
    </row>
    <row r="16" spans="1:11" ht="15" customHeight="1" outlineLevel="1">
      <c r="A16" s="7" t="s">
        <v>33</v>
      </c>
      <c r="B16" s="208">
        <v>1.4379999999999999</v>
      </c>
      <c r="C16" s="208">
        <v>1.3245</v>
      </c>
      <c r="D16" s="208">
        <v>1.3549</v>
      </c>
      <c r="E16" s="208">
        <v>1.2634000000000001</v>
      </c>
      <c r="F16" s="208">
        <v>1.2729999999999999</v>
      </c>
      <c r="G16" s="208">
        <v>1.2986</v>
      </c>
      <c r="H16" s="208">
        <v>1.3636999999999999</v>
      </c>
      <c r="I16" s="208">
        <v>1.2577</v>
      </c>
      <c r="J16" s="208">
        <v>1.343</v>
      </c>
      <c r="K16" s="208">
        <v>1.3838999999999999</v>
      </c>
    </row>
    <row r="17" spans="1:11" ht="15" customHeight="1" outlineLevel="1">
      <c r="A17" s="7" t="s">
        <v>34</v>
      </c>
      <c r="B17" s="208">
        <v>1.37003196721311</v>
      </c>
      <c r="C17" s="208">
        <v>1.3493112328767101</v>
      </c>
      <c r="D17" s="208">
        <v>1.3016235616438401</v>
      </c>
      <c r="E17" s="208">
        <v>1.25345616438356</v>
      </c>
      <c r="F17" s="208">
        <v>1.3408480874316899</v>
      </c>
      <c r="G17" s="208">
        <v>1.3264150684931499</v>
      </c>
      <c r="H17" s="208">
        <v>1.2960156164383601</v>
      </c>
      <c r="I17" s="208">
        <v>1.2975704109588999</v>
      </c>
      <c r="J17" s="208">
        <v>1.3248434426229501</v>
      </c>
      <c r="K17" s="208">
        <v>1.27855397260274</v>
      </c>
    </row>
    <row r="19" spans="1:11">
      <c r="A19" s="8" t="s">
        <v>564</v>
      </c>
      <c r="B19" s="6"/>
      <c r="C19" s="6"/>
      <c r="D19" s="6"/>
      <c r="E19" s="6"/>
      <c r="F19" s="6"/>
      <c r="G19" s="6"/>
      <c r="H19" s="6"/>
      <c r="I19" s="6"/>
      <c r="J19" s="6"/>
      <c r="K19" s="6"/>
    </row>
    <row r="20" spans="1:11">
      <c r="A20" s="8" t="s">
        <v>36</v>
      </c>
      <c r="B20" s="9" t="s">
        <v>37</v>
      </c>
      <c r="C20" s="9" t="s">
        <v>38</v>
      </c>
      <c r="D20" s="9" t="s">
        <v>39</v>
      </c>
      <c r="E20" s="9" t="s">
        <v>40</v>
      </c>
      <c r="F20" s="9" t="s">
        <v>41</v>
      </c>
      <c r="G20" s="9" t="s">
        <v>42</v>
      </c>
      <c r="H20" s="9" t="s">
        <v>43</v>
      </c>
      <c r="I20" s="9" t="s">
        <v>44</v>
      </c>
      <c r="J20" s="9" t="s">
        <v>45</v>
      </c>
      <c r="K20" s="9" t="s">
        <v>46</v>
      </c>
    </row>
    <row r="21" spans="1:11" ht="15" customHeight="1">
      <c r="A21" s="10" t="s">
        <v>565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1:11" ht="15" customHeight="1">
      <c r="A22" s="12" t="s">
        <v>565</v>
      </c>
      <c r="B22" s="27">
        <v>69171.960000000006</v>
      </c>
      <c r="C22" s="27">
        <v>61308.52</v>
      </c>
      <c r="D22" s="27">
        <v>62258.1</v>
      </c>
      <c r="E22" s="27">
        <v>56896.480000000003</v>
      </c>
      <c r="F22" s="27">
        <v>50094.7</v>
      </c>
      <c r="G22" s="27">
        <v>60553.91</v>
      </c>
      <c r="H22" s="27">
        <v>52383.5</v>
      </c>
      <c r="I22" s="27">
        <v>40974.04</v>
      </c>
      <c r="J22" s="27">
        <v>47746.94</v>
      </c>
      <c r="K22" s="27">
        <v>48804.78</v>
      </c>
    </row>
    <row r="23" spans="1:11" ht="15" customHeight="1">
      <c r="A23" s="12" t="s">
        <v>566</v>
      </c>
      <c r="B23" s="27">
        <v>64631.59</v>
      </c>
      <c r="C23" s="27">
        <v>59140.15</v>
      </c>
      <c r="D23" s="27">
        <v>58363.5</v>
      </c>
      <c r="E23" s="27">
        <v>51043.27</v>
      </c>
      <c r="F23" s="27">
        <v>49017.02</v>
      </c>
      <c r="G23" s="27">
        <v>48941.65</v>
      </c>
      <c r="H23" s="27">
        <v>49069.36</v>
      </c>
      <c r="I23" s="27">
        <v>44202.63</v>
      </c>
      <c r="J23" s="27">
        <v>48240.07</v>
      </c>
      <c r="K23" s="27">
        <v>49744.77</v>
      </c>
    </row>
    <row r="24" spans="1:11" ht="15" customHeight="1">
      <c r="A24" s="10" t="s">
        <v>567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1:11" ht="15" customHeight="1">
      <c r="A25" s="12" t="s">
        <v>567</v>
      </c>
      <c r="B25" s="27">
        <v>32967.43</v>
      </c>
      <c r="C25" s="27">
        <v>27862.25</v>
      </c>
      <c r="D25" s="27">
        <v>32489.59</v>
      </c>
      <c r="E25" s="27">
        <v>28606.42</v>
      </c>
      <c r="F25" s="27">
        <v>21142.86</v>
      </c>
      <c r="G25" s="27">
        <v>34100.129999999997</v>
      </c>
      <c r="H25" s="27">
        <v>26189.55</v>
      </c>
      <c r="I25" s="27">
        <v>17131.830000000002</v>
      </c>
      <c r="J25" s="27">
        <v>17726.86</v>
      </c>
      <c r="K25" s="27">
        <v>18576.25</v>
      </c>
    </row>
    <row r="26" spans="1:11" ht="15" customHeight="1">
      <c r="A26" s="12" t="s">
        <v>568</v>
      </c>
      <c r="B26" s="27">
        <v>30828.53</v>
      </c>
      <c r="C26" s="27">
        <v>29278.240000000002</v>
      </c>
      <c r="D26" s="27">
        <v>29453.99</v>
      </c>
      <c r="E26" s="27">
        <v>24847.68</v>
      </c>
      <c r="F26" s="27">
        <v>22632.31</v>
      </c>
      <c r="G26" s="27">
        <v>22260.09</v>
      </c>
      <c r="H26" s="27">
        <v>20688.849999999999</v>
      </c>
      <c r="I26" s="27">
        <v>17719.490000000002</v>
      </c>
      <c r="J26" s="27">
        <v>19953.54</v>
      </c>
      <c r="K26" s="27">
        <v>22035.77</v>
      </c>
    </row>
    <row r="27" spans="1:11" ht="15" customHeight="1">
      <c r="A27" s="10" t="s">
        <v>569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</row>
    <row r="28" spans="1:11" ht="15" customHeight="1">
      <c r="A28" s="12" t="s">
        <v>570</v>
      </c>
      <c r="B28" s="26">
        <v>57.2</v>
      </c>
      <c r="C28" s="26">
        <v>48.56</v>
      </c>
      <c r="D28" s="26">
        <v>56.82</v>
      </c>
      <c r="E28" s="26">
        <v>52.54</v>
      </c>
      <c r="F28" s="26">
        <v>38.97</v>
      </c>
      <c r="G28" s="26">
        <v>63.11</v>
      </c>
      <c r="H28" s="26">
        <v>51.21</v>
      </c>
      <c r="I28" s="26">
        <v>38.51</v>
      </c>
      <c r="J28" s="26">
        <v>41.59</v>
      </c>
      <c r="K28" s="26">
        <v>43.91</v>
      </c>
    </row>
    <row r="29" spans="1:11" ht="15" customHeight="1">
      <c r="A29" s="12" t="s">
        <v>571</v>
      </c>
      <c r="B29" s="26">
        <v>54.81</v>
      </c>
      <c r="C29" s="26">
        <v>52.82</v>
      </c>
      <c r="D29" s="26">
        <v>54.27</v>
      </c>
      <c r="E29" s="26">
        <v>47.75</v>
      </c>
      <c r="F29" s="26">
        <v>45.41</v>
      </c>
      <c r="G29" s="26">
        <v>46.61</v>
      </c>
      <c r="H29" s="26">
        <v>46.33</v>
      </c>
      <c r="I29" s="26">
        <v>41.58</v>
      </c>
      <c r="J29" s="26">
        <v>47.39</v>
      </c>
      <c r="K29" s="26">
        <v>52.52</v>
      </c>
    </row>
    <row r="30" spans="1:11" ht="15" customHeight="1">
      <c r="A30" s="10" t="s">
        <v>572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spans="1:11" ht="15" customHeight="1">
      <c r="A31" s="12" t="s">
        <v>573</v>
      </c>
      <c r="B31" s="13">
        <v>-4.96</v>
      </c>
      <c r="C31" s="13">
        <v>-9.36</v>
      </c>
      <c r="D31" s="13">
        <v>-0.3</v>
      </c>
      <c r="E31" s="24">
        <v>1.61</v>
      </c>
      <c r="F31" s="13">
        <v>-7.42</v>
      </c>
      <c r="G31" s="13">
        <v>-0.75</v>
      </c>
      <c r="H31" s="13">
        <v>-6.82</v>
      </c>
      <c r="I31" s="24">
        <v>7.11</v>
      </c>
      <c r="J31" s="24">
        <v>2.4</v>
      </c>
      <c r="K31" s="24">
        <v>4.21</v>
      </c>
    </row>
    <row r="32" spans="1:11" ht="15" customHeight="1">
      <c r="A32" s="12" t="s">
        <v>574</v>
      </c>
      <c r="B32" s="13">
        <v>-3.74</v>
      </c>
      <c r="C32" s="13">
        <v>-2.77</v>
      </c>
      <c r="D32" s="13">
        <v>-2.3199999999999998</v>
      </c>
      <c r="E32" s="13">
        <v>-1.24</v>
      </c>
      <c r="F32" s="13">
        <v>-1.28</v>
      </c>
      <c r="G32" s="24">
        <v>0.74</v>
      </c>
      <c r="H32" s="13">
        <v>-0.17</v>
      </c>
      <c r="I32" s="24">
        <v>1.05</v>
      </c>
      <c r="J32" s="13">
        <v>-1.1200000000000001</v>
      </c>
      <c r="K32" s="13">
        <v>-0.4</v>
      </c>
    </row>
    <row r="33" spans="1:11" ht="15" customHeight="1">
      <c r="A33" s="10" t="s">
        <v>575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spans="1:11" ht="15" customHeight="1">
      <c r="A34" s="12" t="s">
        <v>49</v>
      </c>
      <c r="B34" s="24">
        <v>4.2699999999999996</v>
      </c>
      <c r="C34" s="24">
        <v>4.3600000000000003</v>
      </c>
      <c r="D34" s="24">
        <v>3.72</v>
      </c>
      <c r="E34" s="24">
        <v>3.75</v>
      </c>
      <c r="F34" s="24">
        <v>5.0999999999999996</v>
      </c>
      <c r="G34" s="24">
        <v>3.15</v>
      </c>
      <c r="H34" s="24">
        <v>4.8499999999999996</v>
      </c>
      <c r="I34" s="24">
        <v>4.7</v>
      </c>
      <c r="J34" s="24">
        <v>4.6500000000000004</v>
      </c>
      <c r="K34" s="24">
        <v>4.54</v>
      </c>
    </row>
    <row r="35" spans="1:11" ht="15" customHeight="1">
      <c r="A35" s="12" t="s">
        <v>576</v>
      </c>
      <c r="B35" s="24">
        <v>4.1900000000000004</v>
      </c>
      <c r="C35" s="24">
        <v>3.92</v>
      </c>
      <c r="D35" s="24">
        <v>4.01</v>
      </c>
      <c r="E35" s="24">
        <v>4.1900000000000004</v>
      </c>
      <c r="F35" s="24">
        <v>4.37</v>
      </c>
      <c r="G35" s="24">
        <v>4.2699999999999996</v>
      </c>
      <c r="H35" s="24">
        <v>4.46</v>
      </c>
      <c r="I35" s="24">
        <v>4.1500000000000004</v>
      </c>
      <c r="J35" s="24"/>
      <c r="K35" s="24"/>
    </row>
    <row r="36" spans="1:11" ht="15" customHeight="1">
      <c r="A36" s="12" t="s">
        <v>48</v>
      </c>
      <c r="B36" s="24">
        <v>4.2699999999999996</v>
      </c>
      <c r="C36" s="24">
        <v>4.3600000000000003</v>
      </c>
      <c r="D36" s="24">
        <v>3.72</v>
      </c>
      <c r="E36" s="24">
        <v>3.75</v>
      </c>
      <c r="F36" s="24">
        <v>5.0999999999999996</v>
      </c>
      <c r="G36" s="24">
        <v>3.15</v>
      </c>
      <c r="H36" s="24">
        <v>4.8499999999999996</v>
      </c>
      <c r="I36" s="24">
        <v>4.7</v>
      </c>
      <c r="J36" s="24">
        <v>4.6500000000000004</v>
      </c>
      <c r="K36" s="24">
        <v>4.54</v>
      </c>
    </row>
    <row r="37" spans="1:11" ht="15" customHeight="1">
      <c r="A37" s="12" t="s">
        <v>577</v>
      </c>
      <c r="B37" s="24">
        <v>4.1900000000000004</v>
      </c>
      <c r="C37" s="24">
        <v>3.92</v>
      </c>
      <c r="D37" s="24">
        <v>4.01</v>
      </c>
      <c r="E37" s="24">
        <v>4.1900000000000004</v>
      </c>
      <c r="F37" s="24">
        <v>4.37</v>
      </c>
      <c r="G37" s="24">
        <v>4.2699999999999996</v>
      </c>
      <c r="H37" s="24">
        <v>4.46</v>
      </c>
      <c r="I37" s="24">
        <v>4.4800000000000004</v>
      </c>
      <c r="J37" s="24">
        <v>4.63</v>
      </c>
      <c r="K37" s="24">
        <v>4.71</v>
      </c>
    </row>
    <row r="38" spans="1:11" ht="15" customHeight="1">
      <c r="A38" s="10" t="s">
        <v>578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 spans="1:11" ht="15" customHeight="1">
      <c r="A39" s="12" t="s">
        <v>579</v>
      </c>
      <c r="B39" s="26">
        <v>1.84</v>
      </c>
      <c r="C39" s="26">
        <v>2.02</v>
      </c>
      <c r="D39" s="26">
        <v>2.36</v>
      </c>
      <c r="E39" s="26">
        <v>2.73</v>
      </c>
      <c r="F39" s="26">
        <v>2.2999999999999998</v>
      </c>
      <c r="G39" s="26">
        <v>3.77</v>
      </c>
      <c r="H39" s="26">
        <v>2.85</v>
      </c>
      <c r="I39" s="26">
        <v>3.47</v>
      </c>
      <c r="J39" s="26">
        <v>2.2000000000000002</v>
      </c>
      <c r="K39" s="26">
        <v>1.08</v>
      </c>
    </row>
    <row r="40" spans="1:11" ht="15" customHeight="1">
      <c r="A40" s="12" t="s">
        <v>580</v>
      </c>
      <c r="B40" s="26">
        <v>2.21</v>
      </c>
      <c r="C40" s="26">
        <v>2.58</v>
      </c>
      <c r="D40" s="26">
        <v>2.77</v>
      </c>
      <c r="E40" s="26">
        <v>2.98</v>
      </c>
      <c r="F40" s="26">
        <v>2.86</v>
      </c>
      <c r="G40" s="26">
        <v>2.29</v>
      </c>
      <c r="H40" s="26">
        <v>1.79</v>
      </c>
      <c r="I40" s="26">
        <v>1.48</v>
      </c>
      <c r="J40" s="26">
        <v>1.31</v>
      </c>
      <c r="K40" s="26">
        <v>1.25</v>
      </c>
    </row>
    <row r="41" spans="1:11" ht="15" customHeight="1">
      <c r="A41" s="10" t="s">
        <v>581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 spans="1:11" ht="15" customHeight="1">
      <c r="A42" s="12" t="s">
        <v>582</v>
      </c>
      <c r="B42" s="26">
        <v>3.35</v>
      </c>
      <c r="C42" s="26">
        <v>4.37</v>
      </c>
      <c r="D42" s="26">
        <v>5.28</v>
      </c>
      <c r="E42" s="26">
        <v>7.76</v>
      </c>
      <c r="F42" s="26">
        <v>10.75</v>
      </c>
      <c r="G42" s="26">
        <v>20.58</v>
      </c>
      <c r="H42" s="26">
        <v>18.63</v>
      </c>
      <c r="I42" s="27"/>
      <c r="J42" s="26">
        <v>27.24</v>
      </c>
      <c r="K42" s="26">
        <v>2.2400000000000002</v>
      </c>
    </row>
    <row r="43" spans="1:11" ht="15" customHeight="1">
      <c r="A43" s="12" t="s">
        <v>583</v>
      </c>
      <c r="B43" s="26">
        <v>5.24</v>
      </c>
      <c r="C43" s="26">
        <v>7.41</v>
      </c>
      <c r="D43" s="26">
        <v>9.75</v>
      </c>
      <c r="E43" s="26">
        <v>21.51</v>
      </c>
      <c r="F43" s="26">
        <v>39.11</v>
      </c>
      <c r="G43" s="26">
        <v>11.3</v>
      </c>
      <c r="H43" s="26">
        <v>6.12</v>
      </c>
      <c r="I43" s="26">
        <v>4.0599999999999996</v>
      </c>
      <c r="J43" s="26">
        <v>2.92</v>
      </c>
      <c r="K43" s="26">
        <v>2.5099999999999998</v>
      </c>
    </row>
    <row r="44" spans="1:11" ht="15" customHeight="1">
      <c r="A44" s="10" t="s">
        <v>584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 spans="1:11" ht="15" customHeight="1">
      <c r="A45" s="12" t="s">
        <v>585</v>
      </c>
      <c r="B45" s="26">
        <v>1.7</v>
      </c>
      <c r="C45" s="26">
        <v>1.64</v>
      </c>
      <c r="D45" s="26">
        <v>1.93</v>
      </c>
      <c r="E45" s="26">
        <v>2.04</v>
      </c>
      <c r="F45" s="26">
        <v>1.54</v>
      </c>
      <c r="G45" s="26">
        <v>2.39</v>
      </c>
      <c r="H45" s="26">
        <v>1.65</v>
      </c>
      <c r="I45" s="26">
        <v>1.24</v>
      </c>
      <c r="J45" s="26">
        <v>1.23</v>
      </c>
      <c r="K45" s="26">
        <v>0.9</v>
      </c>
    </row>
    <row r="46" spans="1:11" ht="15" customHeight="1">
      <c r="A46" s="12" t="s">
        <v>586</v>
      </c>
      <c r="B46" s="26">
        <v>1.77</v>
      </c>
      <c r="C46" s="26">
        <v>1.9</v>
      </c>
      <c r="D46" s="26">
        <v>1.9</v>
      </c>
      <c r="E46" s="26">
        <v>1.75</v>
      </c>
      <c r="F46" s="26">
        <v>1.58</v>
      </c>
      <c r="G46" s="26">
        <v>1.4</v>
      </c>
      <c r="H46" s="26">
        <v>1.18</v>
      </c>
      <c r="I46" s="26">
        <v>1.06</v>
      </c>
      <c r="J46" s="26">
        <v>1.05</v>
      </c>
      <c r="K46" s="26">
        <v>1.04</v>
      </c>
    </row>
    <row r="47" spans="1:11" ht="15" customHeight="1">
      <c r="A47" s="10" t="s">
        <v>587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</row>
    <row r="48" spans="1:11" ht="15" customHeight="1">
      <c r="A48" s="12" t="s">
        <v>588</v>
      </c>
      <c r="B48" s="27"/>
      <c r="C48" s="27"/>
      <c r="D48" s="27"/>
      <c r="E48" s="26">
        <v>62.04</v>
      </c>
      <c r="F48" s="27"/>
      <c r="G48" s="27"/>
      <c r="H48" s="27"/>
      <c r="I48" s="26">
        <v>14.06</v>
      </c>
      <c r="J48" s="26">
        <v>41.75</v>
      </c>
      <c r="K48" s="26">
        <v>23.77</v>
      </c>
    </row>
    <row r="49" spans="1:11" ht="15" customHeight="1">
      <c r="A49" s="12" t="s">
        <v>589</v>
      </c>
      <c r="B49" s="27"/>
      <c r="C49" s="27"/>
      <c r="D49" s="27"/>
      <c r="E49" s="27"/>
      <c r="F49" s="27"/>
      <c r="G49" s="25">
        <v>135.08000000000001</v>
      </c>
      <c r="H49" s="27"/>
      <c r="I49" s="26">
        <v>95.05</v>
      </c>
      <c r="J49" s="27"/>
      <c r="K49" s="27"/>
    </row>
    <row r="50" spans="1:11" ht="15" customHeight="1">
      <c r="A50" s="10" t="s">
        <v>590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</row>
    <row r="51" spans="1:11" ht="15" customHeight="1">
      <c r="A51" s="12" t="s">
        <v>591</v>
      </c>
      <c r="B51" s="26">
        <v>8.4499999999999993</v>
      </c>
      <c r="C51" s="26">
        <v>7.92</v>
      </c>
      <c r="D51" s="26">
        <v>13.22</v>
      </c>
      <c r="E51" s="26">
        <v>8</v>
      </c>
      <c r="F51" s="26">
        <v>7.3</v>
      </c>
      <c r="G51" s="26">
        <v>12.42</v>
      </c>
      <c r="H51" s="26">
        <v>8.75</v>
      </c>
      <c r="I51" s="26">
        <v>7.04</v>
      </c>
      <c r="J51" s="26">
        <v>8.89</v>
      </c>
      <c r="K51" s="26">
        <v>5.27</v>
      </c>
    </row>
    <row r="52" spans="1:11" ht="15" customHeight="1">
      <c r="A52" s="12" t="s">
        <v>592</v>
      </c>
      <c r="B52" s="26">
        <v>8.6999999999999993</v>
      </c>
      <c r="C52" s="26">
        <v>9.4499999999999993</v>
      </c>
      <c r="D52" s="26">
        <v>9.64</v>
      </c>
      <c r="E52" s="26">
        <v>8.61</v>
      </c>
      <c r="F52" s="26">
        <v>8.82</v>
      </c>
      <c r="G52" s="26">
        <v>8.14</v>
      </c>
      <c r="H52" s="26">
        <v>7.81</v>
      </c>
      <c r="I52" s="26">
        <v>7.79</v>
      </c>
      <c r="J52" s="26">
        <v>8.27</v>
      </c>
      <c r="K52" s="26">
        <v>8.3800000000000008</v>
      </c>
    </row>
    <row r="53" spans="1:11" ht="15" customHeight="1">
      <c r="A53" s="10" t="s">
        <v>593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</row>
    <row r="54" spans="1:11" ht="15" customHeight="1">
      <c r="A54" s="12" t="s">
        <v>594</v>
      </c>
      <c r="B54" s="26">
        <v>23.47</v>
      </c>
      <c r="C54" s="26">
        <v>18.739999999999998</v>
      </c>
      <c r="D54" s="26">
        <v>59.09</v>
      </c>
      <c r="E54" s="26">
        <v>18.32</v>
      </c>
      <c r="F54" s="26">
        <v>16.57</v>
      </c>
      <c r="G54" s="26">
        <v>29.1</v>
      </c>
      <c r="H54" s="26">
        <v>27.24</v>
      </c>
      <c r="I54" s="26">
        <v>15.04</v>
      </c>
      <c r="J54" s="26">
        <v>23.94</v>
      </c>
      <c r="K54" s="26">
        <v>23.28</v>
      </c>
    </row>
    <row r="55" spans="1:11" ht="15" customHeight="1">
      <c r="A55" s="12" t="s">
        <v>595</v>
      </c>
      <c r="B55" s="26">
        <v>22.48</v>
      </c>
      <c r="C55" s="26">
        <v>23.59</v>
      </c>
      <c r="D55" s="26">
        <v>25.43</v>
      </c>
      <c r="E55" s="26">
        <v>20.54</v>
      </c>
      <c r="F55" s="26">
        <v>21.68</v>
      </c>
      <c r="G55" s="26">
        <v>23.18</v>
      </c>
      <c r="H55" s="26">
        <v>25.81</v>
      </c>
      <c r="I55" s="26">
        <v>27.08</v>
      </c>
      <c r="J55" s="26">
        <v>30.07</v>
      </c>
      <c r="K55" s="26">
        <v>27.99</v>
      </c>
    </row>
    <row r="56" spans="1:11" ht="15" customHeight="1">
      <c r="A56" s="10" t="s">
        <v>596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</row>
    <row r="57" spans="1:11" ht="15" customHeight="1">
      <c r="A57" s="12" t="s">
        <v>597</v>
      </c>
      <c r="B57" s="26">
        <v>21.15</v>
      </c>
      <c r="C57" s="26">
        <v>17.010000000000002</v>
      </c>
      <c r="D57" s="26">
        <v>47.5</v>
      </c>
      <c r="E57" s="26">
        <v>26.5</v>
      </c>
      <c r="F57" s="26">
        <v>11.23</v>
      </c>
      <c r="G57" s="26">
        <v>16.739999999999998</v>
      </c>
      <c r="H57" s="26">
        <v>22.54</v>
      </c>
      <c r="I57" s="26">
        <v>12.98</v>
      </c>
      <c r="J57" s="26">
        <v>18.96</v>
      </c>
      <c r="K57" s="26">
        <v>11.69</v>
      </c>
    </row>
    <row r="58" spans="1:11" ht="15" customHeight="1">
      <c r="A58" s="12" t="s">
        <v>598</v>
      </c>
      <c r="B58" s="26">
        <v>2.21</v>
      </c>
      <c r="C58" s="26">
        <v>2.58</v>
      </c>
      <c r="D58" s="26">
        <v>2.77</v>
      </c>
      <c r="E58" s="26">
        <v>2.98</v>
      </c>
      <c r="F58" s="26">
        <v>2.86</v>
      </c>
      <c r="G58" s="26">
        <v>2.29</v>
      </c>
      <c r="H58" s="26">
        <v>1.79</v>
      </c>
      <c r="I58" s="26">
        <v>1.48</v>
      </c>
      <c r="J58" s="26">
        <v>1.31</v>
      </c>
      <c r="K58" s="26">
        <v>1.25</v>
      </c>
    </row>
    <row r="59" spans="1:11" ht="15" customHeight="1">
      <c r="A59" s="10" t="s">
        <v>599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</row>
    <row r="60" spans="1:11" ht="15" customHeight="1">
      <c r="A60" s="12" t="s">
        <v>600</v>
      </c>
      <c r="B60" s="15">
        <v>-1.76</v>
      </c>
      <c r="C60" s="26">
        <v>0.11</v>
      </c>
      <c r="D60" s="15">
        <v>-0.86</v>
      </c>
      <c r="E60" s="26">
        <v>0.8</v>
      </c>
      <c r="F60" s="26">
        <v>1.56</v>
      </c>
      <c r="G60" s="26">
        <v>1.38</v>
      </c>
      <c r="H60" s="15">
        <v>-0.84</v>
      </c>
      <c r="I60" s="26">
        <v>0.26</v>
      </c>
      <c r="J60" s="15">
        <v>-4.68</v>
      </c>
      <c r="K60" s="26">
        <v>0.14000000000000001</v>
      </c>
    </row>
    <row r="61" spans="1:11" ht="15" customHeight="1">
      <c r="A61" s="12" t="s">
        <v>601</v>
      </c>
      <c r="B61" s="26">
        <v>75.62</v>
      </c>
      <c r="C61" s="26">
        <v>3.25</v>
      </c>
      <c r="D61" s="15">
        <v>-1.34</v>
      </c>
      <c r="E61" s="26">
        <v>1.72</v>
      </c>
      <c r="F61" s="26">
        <v>3.46</v>
      </c>
      <c r="G61" s="26">
        <v>0.87</v>
      </c>
      <c r="H61" s="26">
        <v>2.9</v>
      </c>
      <c r="I61" s="26">
        <v>10.86</v>
      </c>
      <c r="J61" s="15">
        <v>-2.97</v>
      </c>
      <c r="K61" s="15">
        <v>-2.56</v>
      </c>
    </row>
    <row r="62" spans="1:11" ht="15" customHeight="1">
      <c r="A62" s="10" t="s">
        <v>602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5" customHeight="1">
      <c r="A63" s="12" t="s">
        <v>603</v>
      </c>
      <c r="B63" s="26">
        <v>3.57</v>
      </c>
      <c r="C63" s="26">
        <v>3.6</v>
      </c>
      <c r="D63" s="26">
        <v>3.69</v>
      </c>
      <c r="E63" s="26">
        <v>4.05</v>
      </c>
      <c r="F63" s="26">
        <v>3.65</v>
      </c>
      <c r="G63" s="26">
        <v>4.2300000000000004</v>
      </c>
      <c r="H63" s="26">
        <v>3.41</v>
      </c>
      <c r="I63" s="26">
        <v>2.98</v>
      </c>
      <c r="J63" s="26">
        <v>3.32</v>
      </c>
      <c r="K63" s="26">
        <v>2.35</v>
      </c>
    </row>
    <row r="64" spans="1:11" ht="15" customHeight="1">
      <c r="A64" s="12" t="s">
        <v>604</v>
      </c>
      <c r="B64" s="26">
        <v>3.7</v>
      </c>
      <c r="C64" s="26">
        <v>3.83</v>
      </c>
      <c r="D64" s="26">
        <v>3.8</v>
      </c>
      <c r="E64" s="26">
        <v>3.66</v>
      </c>
      <c r="F64" s="26">
        <v>3.52</v>
      </c>
      <c r="G64" s="26">
        <v>3.2</v>
      </c>
      <c r="H64" s="26">
        <v>2.86</v>
      </c>
      <c r="I64" s="26">
        <v>2.64</v>
      </c>
      <c r="J64" s="26">
        <v>2.5299999999999998</v>
      </c>
      <c r="K64" s="26">
        <v>2.35</v>
      </c>
    </row>
    <row r="65" spans="1:11" ht="15" customHeight="1">
      <c r="A65" s="10" t="s">
        <v>605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" customHeight="1">
      <c r="A66" s="12" t="s">
        <v>606</v>
      </c>
      <c r="B66" s="26">
        <v>12.14</v>
      </c>
      <c r="C66" s="26">
        <v>12.42</v>
      </c>
      <c r="D66" s="26">
        <v>13.99</v>
      </c>
      <c r="E66" s="26">
        <v>13.99</v>
      </c>
      <c r="F66" s="26">
        <v>11.45</v>
      </c>
      <c r="G66" s="26">
        <v>12.5</v>
      </c>
      <c r="H66" s="26">
        <v>10.54</v>
      </c>
      <c r="I66" s="26">
        <v>9.32</v>
      </c>
      <c r="J66" s="26">
        <v>11.73</v>
      </c>
      <c r="K66" s="26">
        <v>7.87</v>
      </c>
    </row>
    <row r="67" spans="1:11" ht="15" customHeight="1">
      <c r="A67" s="12" t="s">
        <v>607</v>
      </c>
      <c r="B67" s="26">
        <v>12.75</v>
      </c>
      <c r="C67" s="26">
        <v>12.83</v>
      </c>
      <c r="D67" s="26">
        <v>12.44</v>
      </c>
      <c r="E67" s="26">
        <v>11.53</v>
      </c>
      <c r="F67" s="26">
        <v>11.1</v>
      </c>
      <c r="G67" s="26">
        <v>10.25</v>
      </c>
      <c r="H67" s="26">
        <v>10.039999999999999</v>
      </c>
      <c r="I67" s="26">
        <v>9.99</v>
      </c>
      <c r="J67" s="26">
        <v>10</v>
      </c>
      <c r="K67" s="26">
        <v>9.68</v>
      </c>
    </row>
    <row r="68" spans="1:11" ht="15" customHeight="1">
      <c r="A68" s="10" t="s">
        <v>608</v>
      </c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ht="15" customHeight="1">
      <c r="A69" s="12" t="s">
        <v>609</v>
      </c>
      <c r="B69" s="26">
        <v>16.64</v>
      </c>
      <c r="C69" s="26">
        <v>33.369999999999997</v>
      </c>
      <c r="D69" s="26">
        <v>17.13</v>
      </c>
      <c r="E69" s="26">
        <v>16.02</v>
      </c>
      <c r="F69" s="26">
        <v>27.65</v>
      </c>
      <c r="G69" s="26">
        <v>18.899999999999999</v>
      </c>
      <c r="H69" s="26">
        <v>27.24</v>
      </c>
      <c r="I69" s="26">
        <v>8.56</v>
      </c>
      <c r="J69" s="26">
        <v>10.51</v>
      </c>
      <c r="K69" s="26">
        <v>10.19</v>
      </c>
    </row>
    <row r="70" spans="1:11" ht="15" customHeight="1">
      <c r="A70" s="12" t="s">
        <v>610</v>
      </c>
      <c r="B70" s="26">
        <v>20.07</v>
      </c>
      <c r="C70" s="26">
        <v>20.73</v>
      </c>
      <c r="D70" s="26">
        <v>19.95</v>
      </c>
      <c r="E70" s="26">
        <v>16.95</v>
      </c>
      <c r="F70" s="26">
        <v>15.41</v>
      </c>
      <c r="G70" s="26">
        <v>12.97</v>
      </c>
      <c r="H70" s="26">
        <v>12.18</v>
      </c>
      <c r="I70" s="26">
        <v>10.97</v>
      </c>
      <c r="J70" s="26">
        <v>12.35</v>
      </c>
      <c r="K70" s="26">
        <v>12.64</v>
      </c>
    </row>
    <row r="71" spans="1:11" ht="15" customHeight="1">
      <c r="A71" s="10" t="s">
        <v>611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ht="15" customHeight="1">
      <c r="A72" s="12" t="s">
        <v>612</v>
      </c>
      <c r="B72" s="27"/>
      <c r="C72" s="27"/>
      <c r="D72" s="27"/>
      <c r="E72" s="25">
        <v>123.04</v>
      </c>
      <c r="F72" s="27"/>
      <c r="G72" s="27"/>
      <c r="H72" s="27"/>
      <c r="I72" s="26">
        <v>33.69</v>
      </c>
      <c r="J72" s="25">
        <v>112.51</v>
      </c>
      <c r="K72" s="26">
        <v>62.31</v>
      </c>
    </row>
    <row r="73" spans="1:11" ht="15" customHeight="1">
      <c r="A73" s="12" t="s">
        <v>613</v>
      </c>
      <c r="B73" s="27"/>
      <c r="C73" s="27"/>
      <c r="D73" s="27"/>
      <c r="E73" s="27"/>
      <c r="F73" s="27"/>
      <c r="G73" s="25">
        <v>488.19</v>
      </c>
      <c r="H73" s="27"/>
      <c r="I73" s="25">
        <v>222.16</v>
      </c>
      <c r="J73" s="27"/>
      <c r="K73" s="27"/>
    </row>
  </sheetData>
  <mergeCells count="70"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B17"/>
    <mergeCell ref="C12"/>
    <mergeCell ref="C13"/>
    <mergeCell ref="C14"/>
    <mergeCell ref="C15"/>
    <mergeCell ref="C16"/>
    <mergeCell ref="C17"/>
    <mergeCell ref="B12"/>
    <mergeCell ref="B13"/>
    <mergeCell ref="B14"/>
    <mergeCell ref="B15"/>
    <mergeCell ref="B16"/>
    <mergeCell ref="D17"/>
    <mergeCell ref="E12"/>
    <mergeCell ref="E13"/>
    <mergeCell ref="E14"/>
    <mergeCell ref="E15"/>
    <mergeCell ref="E16"/>
    <mergeCell ref="E17"/>
    <mergeCell ref="D12"/>
    <mergeCell ref="D13"/>
    <mergeCell ref="D14"/>
    <mergeCell ref="D15"/>
    <mergeCell ref="D16"/>
    <mergeCell ref="F17"/>
    <mergeCell ref="G12"/>
    <mergeCell ref="G13"/>
    <mergeCell ref="G14"/>
    <mergeCell ref="G15"/>
    <mergeCell ref="G16"/>
    <mergeCell ref="G17"/>
    <mergeCell ref="F12"/>
    <mergeCell ref="F13"/>
    <mergeCell ref="F14"/>
    <mergeCell ref="F15"/>
    <mergeCell ref="F16"/>
    <mergeCell ref="H17"/>
    <mergeCell ref="I12"/>
    <mergeCell ref="I13"/>
    <mergeCell ref="I14"/>
    <mergeCell ref="I15"/>
    <mergeCell ref="I16"/>
    <mergeCell ref="I17"/>
    <mergeCell ref="H12"/>
    <mergeCell ref="H13"/>
    <mergeCell ref="H14"/>
    <mergeCell ref="H15"/>
    <mergeCell ref="H16"/>
    <mergeCell ref="J17"/>
    <mergeCell ref="K12"/>
    <mergeCell ref="K13"/>
    <mergeCell ref="K14"/>
    <mergeCell ref="K15"/>
    <mergeCell ref="K16"/>
    <mergeCell ref="K17"/>
    <mergeCell ref="J12"/>
    <mergeCell ref="J13"/>
    <mergeCell ref="J14"/>
    <mergeCell ref="J15"/>
    <mergeCell ref="J16"/>
  </mergeCells>
  <phoneticPr fontId="8" type="noConversion"/>
  <pageMargins left="0.5" right="0.5" top="1" bottom="1" header="0.5" footer="0.75"/>
  <pageSetup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87102-A52A-CA41-A26A-FB1557E4B261}">
  <dimension ref="A1:BE60"/>
  <sheetViews>
    <sheetView topLeftCell="U40" zoomScale="103" zoomScaleNormal="55" workbookViewId="0">
      <selection activeCell="AQ30" sqref="AQ30"/>
    </sheetView>
  </sheetViews>
  <sheetFormatPr defaultColWidth="10.77734375" defaultRowHeight="14.4"/>
  <cols>
    <col min="1" max="1" width="40" style="36" bestFit="1" customWidth="1"/>
    <col min="2" max="2" width="25.33203125" style="36" customWidth="1"/>
    <col min="3" max="3" width="24.109375" style="36" customWidth="1"/>
    <col min="4" max="12" width="10.77734375" style="36"/>
    <col min="13" max="13" width="48.6640625" style="36" customWidth="1"/>
    <col min="14" max="14" width="19.44140625" style="36" customWidth="1"/>
    <col min="15" max="18" width="11.44140625" style="36" bestFit="1" customWidth="1"/>
    <col min="19" max="20" width="10.77734375" style="36"/>
    <col min="21" max="21" width="39" style="36" customWidth="1"/>
    <col min="22" max="32" width="10.77734375" style="36"/>
    <col min="33" max="33" width="11.77734375" style="36" bestFit="1" customWidth="1"/>
    <col min="34" max="34" width="12.44140625" style="36" bestFit="1" customWidth="1"/>
    <col min="35" max="35" width="12.77734375" style="36" bestFit="1" customWidth="1"/>
    <col min="36" max="38" width="12.44140625" style="36" bestFit="1" customWidth="1"/>
    <col min="39" max="40" width="10.77734375" style="36"/>
    <col min="41" max="41" width="21.77734375" style="36" customWidth="1"/>
    <col min="42" max="42" width="13.44140625" style="36" customWidth="1"/>
    <col min="43" max="51" width="10.77734375" style="36"/>
    <col min="52" max="52" width="17.33203125" style="36" customWidth="1"/>
    <col min="53" max="16384" width="10.77734375" style="36"/>
  </cols>
  <sheetData>
    <row r="1" spans="1:57" ht="18">
      <c r="A1" s="35" t="s">
        <v>614</v>
      </c>
      <c r="B1" s="217" t="s">
        <v>615</v>
      </c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5" t="s">
        <v>616</v>
      </c>
      <c r="O1" s="216"/>
      <c r="P1" s="216"/>
      <c r="Q1" s="216"/>
      <c r="R1" s="224"/>
      <c r="U1" s="31" t="s">
        <v>617</v>
      </c>
      <c r="V1" s="221" t="s">
        <v>615</v>
      </c>
      <c r="W1" s="222"/>
      <c r="X1" s="222"/>
      <c r="Y1" s="222"/>
      <c r="Z1" s="222"/>
      <c r="AA1" s="222"/>
      <c r="AB1" s="222"/>
      <c r="AC1" s="222"/>
      <c r="AD1" s="222"/>
      <c r="AE1" s="222"/>
      <c r="AF1" s="222"/>
      <c r="AG1" s="222"/>
      <c r="AH1" s="223" t="s">
        <v>616</v>
      </c>
      <c r="AI1" s="223"/>
      <c r="AJ1" s="223"/>
      <c r="AK1" s="223"/>
      <c r="AL1" s="223"/>
      <c r="AO1" s="227" t="s">
        <v>618</v>
      </c>
      <c r="AP1" s="227"/>
      <c r="AQ1" s="227"/>
      <c r="AR1" s="227"/>
      <c r="AS1" s="227"/>
      <c r="AT1" s="227"/>
      <c r="AU1" s="227"/>
      <c r="AV1" s="227"/>
      <c r="AW1" s="227"/>
      <c r="AX1" s="227"/>
      <c r="AY1" s="227"/>
      <c r="AZ1" s="227"/>
      <c r="BA1" s="227"/>
      <c r="BB1" s="227"/>
      <c r="BC1" s="227"/>
      <c r="BD1" s="227"/>
      <c r="BE1" s="227"/>
    </row>
    <row r="2" spans="1:57" ht="61.2" customHeight="1">
      <c r="A2" s="37" t="s">
        <v>619</v>
      </c>
      <c r="B2" s="37">
        <v>2014</v>
      </c>
      <c r="C2" s="37">
        <v>2015</v>
      </c>
      <c r="D2" s="37">
        <v>2016</v>
      </c>
      <c r="E2" s="37">
        <v>2017</v>
      </c>
      <c r="F2" s="37">
        <v>2018</v>
      </c>
      <c r="G2" s="37">
        <v>2019</v>
      </c>
      <c r="H2" s="37">
        <v>2020</v>
      </c>
      <c r="I2" s="37">
        <v>2021</v>
      </c>
      <c r="J2" s="37">
        <v>2022</v>
      </c>
      <c r="K2" s="37">
        <v>2023</v>
      </c>
      <c r="L2" s="37">
        <v>2024</v>
      </c>
      <c r="M2" s="109" t="s">
        <v>620</v>
      </c>
      <c r="N2" s="77" t="s">
        <v>621</v>
      </c>
      <c r="O2" s="77" t="s">
        <v>622</v>
      </c>
      <c r="P2" s="77" t="s">
        <v>623</v>
      </c>
      <c r="Q2" s="77" t="s">
        <v>624</v>
      </c>
      <c r="R2" s="77" t="s">
        <v>625</v>
      </c>
      <c r="U2" s="37" t="s">
        <v>619</v>
      </c>
      <c r="V2" s="37">
        <v>2014</v>
      </c>
      <c r="W2" s="37">
        <v>2015</v>
      </c>
      <c r="X2" s="37">
        <v>2016</v>
      </c>
      <c r="Y2" s="37">
        <v>2017</v>
      </c>
      <c r="Z2" s="37">
        <v>2018</v>
      </c>
      <c r="AA2" s="37">
        <v>2019</v>
      </c>
      <c r="AB2" s="37">
        <v>2020</v>
      </c>
      <c r="AC2" s="37">
        <v>2021</v>
      </c>
      <c r="AD2" s="37">
        <v>2022</v>
      </c>
      <c r="AE2" s="37">
        <v>2023</v>
      </c>
      <c r="AF2" s="37">
        <v>2024</v>
      </c>
      <c r="AG2" s="35" t="s">
        <v>626</v>
      </c>
      <c r="AH2" s="77" t="s">
        <v>621</v>
      </c>
      <c r="AI2" s="77" t="s">
        <v>622</v>
      </c>
      <c r="AJ2" s="77" t="s">
        <v>623</v>
      </c>
      <c r="AK2" s="77" t="s">
        <v>624</v>
      </c>
      <c r="AL2" s="77" t="s">
        <v>625</v>
      </c>
      <c r="AO2" s="37" t="s">
        <v>618</v>
      </c>
      <c r="AP2" s="218" t="s">
        <v>615</v>
      </c>
      <c r="AQ2" s="219"/>
      <c r="AR2" s="219"/>
      <c r="AS2" s="219"/>
      <c r="AT2" s="219"/>
      <c r="AU2" s="219"/>
      <c r="AV2" s="219"/>
      <c r="AW2" s="219"/>
      <c r="AX2" s="219"/>
      <c r="AY2" s="219"/>
      <c r="AZ2" s="220"/>
      <c r="BA2" s="215" t="s">
        <v>616</v>
      </c>
      <c r="BB2" s="216"/>
      <c r="BC2" s="216"/>
      <c r="BD2" s="216"/>
      <c r="BE2" s="224"/>
    </row>
    <row r="3" spans="1:57" ht="42" customHeight="1">
      <c r="A3" s="110" t="s">
        <v>97</v>
      </c>
      <c r="B3" s="111"/>
      <c r="C3" s="111">
        <v>13598.7</v>
      </c>
      <c r="D3" s="111">
        <v>12994.06</v>
      </c>
      <c r="E3" s="111">
        <v>12965.32</v>
      </c>
      <c r="F3" s="111">
        <v>13312.67</v>
      </c>
      <c r="G3" s="111">
        <v>13569.23</v>
      </c>
      <c r="H3" s="111">
        <v>13812.08</v>
      </c>
      <c r="I3" s="111">
        <v>13307.94</v>
      </c>
      <c r="J3" s="111">
        <v>15331.82</v>
      </c>
      <c r="K3" s="111">
        <v>16804.32</v>
      </c>
      <c r="L3" s="111">
        <v>17980.3</v>
      </c>
      <c r="M3" s="75">
        <f>POWER((L3/D3),1/8)-1</f>
        <v>4.1433415179392474E-2</v>
      </c>
      <c r="N3" s="112">
        <f>L3*(1+M3)</f>
        <v>18725.285234950028</v>
      </c>
      <c r="O3" s="112">
        <f>N3*(1+M3)</f>
        <v>19501.137752442261</v>
      </c>
      <c r="P3" s="112">
        <f>O3*(1+M3)</f>
        <v>20309.136489409724</v>
      </c>
      <c r="Q3" s="112">
        <f>P3*(1+M3)</f>
        <v>21150.613373510387</v>
      </c>
      <c r="R3" s="112">
        <f>Q3*(1+M3)</f>
        <v>22026.955518713854</v>
      </c>
      <c r="U3" s="67" t="s">
        <v>627</v>
      </c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70"/>
      <c r="AH3" s="50"/>
      <c r="AI3" s="50"/>
      <c r="AJ3" s="50"/>
      <c r="AK3" s="50"/>
      <c r="AL3" s="50"/>
      <c r="AN3" s="36">
        <v>2014</v>
      </c>
      <c r="AO3" s="37" t="s">
        <v>619</v>
      </c>
      <c r="AP3" s="37">
        <v>2015</v>
      </c>
      <c r="AQ3" s="37">
        <v>2016</v>
      </c>
      <c r="AR3" s="37">
        <v>2017</v>
      </c>
      <c r="AS3" s="37">
        <v>2018</v>
      </c>
      <c r="AT3" s="37">
        <v>2019</v>
      </c>
      <c r="AU3" s="37">
        <v>2020</v>
      </c>
      <c r="AV3" s="37">
        <v>2021</v>
      </c>
      <c r="AW3" s="37">
        <v>2022</v>
      </c>
      <c r="AX3" s="37">
        <v>2023</v>
      </c>
      <c r="AY3" s="37">
        <v>2024</v>
      </c>
      <c r="AZ3" s="37" t="s">
        <v>626</v>
      </c>
      <c r="BA3" s="77" t="s">
        <v>621</v>
      </c>
      <c r="BB3" s="77" t="s">
        <v>622</v>
      </c>
      <c r="BC3" s="77" t="s">
        <v>623</v>
      </c>
      <c r="BD3" s="77" t="s">
        <v>624</v>
      </c>
      <c r="BE3" s="77" t="s">
        <v>625</v>
      </c>
    </row>
    <row r="4" spans="1:57" ht="22.05" customHeight="1">
      <c r="A4" s="110" t="s">
        <v>98</v>
      </c>
      <c r="B4" s="111"/>
      <c r="C4" s="111">
        <v>5612.85</v>
      </c>
      <c r="D4" s="111">
        <v>1181.76</v>
      </c>
      <c r="E4" s="111">
        <v>1214.53</v>
      </c>
      <c r="F4" s="111">
        <v>1281.76</v>
      </c>
      <c r="G4" s="111">
        <v>1067.76</v>
      </c>
      <c r="H4" s="111">
        <v>655.67</v>
      </c>
      <c r="I4" s="111">
        <v>645.53</v>
      </c>
      <c r="J4" s="111">
        <v>885.1</v>
      </c>
      <c r="K4" s="111">
        <v>561.30999999999995</v>
      </c>
      <c r="L4" s="111">
        <v>476.77</v>
      </c>
      <c r="M4" s="75">
        <f>POWER((L4/D4),1/8)-1</f>
        <v>-0.1072652209558852</v>
      </c>
      <c r="N4" s="112">
        <f>L4*(1+M4)</f>
        <v>425.62916060486259</v>
      </c>
      <c r="O4" s="112">
        <f>N4*(1+M4)</f>
        <v>379.97395464731403</v>
      </c>
      <c r="P4" s="112">
        <f>O4*(1+M4)</f>
        <v>339.21596444458839</v>
      </c>
      <c r="Q4" s="112">
        <f>P4*(1+M4)</f>
        <v>302.82988906667595</v>
      </c>
      <c r="R4" s="112">
        <f>Q4*(1+M4)</f>
        <v>270.34677410389276</v>
      </c>
      <c r="U4" s="66" t="s">
        <v>101</v>
      </c>
      <c r="V4" s="68">
        <f>9073.57</f>
        <v>9073.57</v>
      </c>
      <c r="W4" s="68">
        <v>9531.6200000000008</v>
      </c>
      <c r="X4" s="68">
        <v>6377.8</v>
      </c>
      <c r="Y4" s="68">
        <v>5774.19</v>
      </c>
      <c r="Z4" s="68">
        <v>6198.84</v>
      </c>
      <c r="AA4" s="68">
        <v>6159.87</v>
      </c>
      <c r="AB4" s="68">
        <v>5824.64</v>
      </c>
      <c r="AC4" s="68">
        <v>5950.16</v>
      </c>
      <c r="AD4" s="68">
        <v>7768.09</v>
      </c>
      <c r="AE4" s="68">
        <v>8240.24</v>
      </c>
      <c r="AF4" s="68">
        <v>8161.28</v>
      </c>
      <c r="AG4" s="76"/>
      <c r="AH4" s="65"/>
      <c r="AI4" s="65"/>
      <c r="AJ4" s="65"/>
      <c r="AK4" s="65"/>
      <c r="AL4" s="65"/>
      <c r="AN4" s="36">
        <v>3915.02</v>
      </c>
      <c r="AO4" s="66" t="s">
        <v>292</v>
      </c>
      <c r="AP4" s="68">
        <f>'Cash Flow'!K48</f>
        <v>3700.14</v>
      </c>
      <c r="AQ4" s="68">
        <f>'Cash Flow'!J48</f>
        <v>4063.29</v>
      </c>
      <c r="AR4" s="68">
        <f>'Cash Flow'!I48</f>
        <v>3686.4</v>
      </c>
      <c r="AS4" s="68">
        <f>'Cash Flow'!H48</f>
        <v>3466.84</v>
      </c>
      <c r="AT4" s="68">
        <f>'Cash Flow'!G48</f>
        <v>3534.9</v>
      </c>
      <c r="AU4" s="68">
        <f>'Cash Flow'!F48</f>
        <v>3562.63</v>
      </c>
      <c r="AV4" s="68">
        <f>'Cash Flow'!E48</f>
        <v>3064.7</v>
      </c>
      <c r="AW4" s="68">
        <f>'Cash Flow'!D48</f>
        <v>3587.27</v>
      </c>
      <c r="AX4" s="68">
        <f>'Cash Flow'!C48</f>
        <v>4528.29</v>
      </c>
      <c r="AY4" s="68">
        <f>'Cash Flow'!B48</f>
        <v>5521.23</v>
      </c>
      <c r="AZ4" s="83">
        <v>3.5000000000000003E-2</v>
      </c>
      <c r="BA4" s="79">
        <f>AY4*50%</f>
        <v>2760.6149999999998</v>
      </c>
      <c r="BB4" s="79">
        <f>BA4*(1+AZ4)</f>
        <v>2857.2365249999993</v>
      </c>
      <c r="BC4" s="79">
        <f>BB4*(1+AZ4)</f>
        <v>2957.2398033749992</v>
      </c>
      <c r="BD4" s="79">
        <f>BC4*(1+AZ4)</f>
        <v>3060.7431964931238</v>
      </c>
      <c r="BE4" s="79">
        <f>BD4*(1+AZ4)</f>
        <v>3167.8692083703831</v>
      </c>
    </row>
    <row r="5" spans="1:57" ht="19.05" customHeight="1">
      <c r="A5" s="113" t="s">
        <v>99</v>
      </c>
      <c r="B5" s="111"/>
      <c r="C5" s="111">
        <v>19211.55</v>
      </c>
      <c r="D5" s="111">
        <v>14175.82</v>
      </c>
      <c r="E5" s="111">
        <v>14179.85</v>
      </c>
      <c r="F5" s="111">
        <v>14594.43</v>
      </c>
      <c r="G5" s="111">
        <v>14636.99</v>
      </c>
      <c r="H5" s="111">
        <v>14467.75</v>
      </c>
      <c r="I5" s="111">
        <v>13953.47</v>
      </c>
      <c r="J5" s="111">
        <v>16216.93</v>
      </c>
      <c r="K5" s="111">
        <v>17365.64</v>
      </c>
      <c r="L5" s="111">
        <v>18457.07</v>
      </c>
      <c r="M5" s="75">
        <f>4.8%</f>
        <v>4.8000000000000001E-2</v>
      </c>
      <c r="N5" s="114">
        <f>L5*(1+M5)</f>
        <v>19343.00936</v>
      </c>
      <c r="O5" s="114">
        <f>N5*(1+M5)</f>
        <v>20271.47380928</v>
      </c>
      <c r="P5" s="114">
        <f>O5*(1+M5)</f>
        <v>21244.50455212544</v>
      </c>
      <c r="Q5" s="114">
        <f>P5*(1+M5)</f>
        <v>22264.240770627461</v>
      </c>
      <c r="R5" s="114">
        <f>Q5*(1+M5)</f>
        <v>23332.92432761758</v>
      </c>
      <c r="U5" s="66" t="s">
        <v>102</v>
      </c>
      <c r="V5" s="68">
        <f>9073.57</f>
        <v>9073.57</v>
      </c>
      <c r="W5" s="68">
        <v>9531.6200000000008</v>
      </c>
      <c r="X5" s="68">
        <v>6377.8</v>
      </c>
      <c r="Y5" s="68">
        <v>5774.19</v>
      </c>
      <c r="Z5" s="68">
        <v>6198.84</v>
      </c>
      <c r="AA5" s="68">
        <v>6159.87</v>
      </c>
      <c r="AB5" s="68">
        <v>5824.64</v>
      </c>
      <c r="AC5" s="68">
        <v>5950.16</v>
      </c>
      <c r="AD5" s="68">
        <v>7768.09</v>
      </c>
      <c r="AE5" s="68">
        <v>8240.24</v>
      </c>
      <c r="AF5" s="68">
        <v>8161.28</v>
      </c>
      <c r="AG5" s="76">
        <f>POWER((AF5/V5),1/10)-1</f>
        <v>-1.054053237124053E-2</v>
      </c>
      <c r="AH5" s="65"/>
      <c r="AI5" s="65"/>
      <c r="AJ5" s="65"/>
      <c r="AK5" s="65"/>
      <c r="AL5" s="65"/>
      <c r="AO5" s="36" t="s">
        <v>628</v>
      </c>
      <c r="AP5" s="36">
        <f>(AP4-AN4)/AN4</f>
        <v>-5.4886054221945257E-2</v>
      </c>
      <c r="AQ5" s="36">
        <f t="shared" ref="AQ5:AY5" si="0">(AQ4-AP4)/AP4</f>
        <v>9.8144935056511409E-2</v>
      </c>
      <c r="AR5" s="36">
        <f t="shared" si="0"/>
        <v>-9.2754885819126831E-2</v>
      </c>
      <c r="AS5" s="36">
        <f t="shared" si="0"/>
        <v>-5.955946180555554E-2</v>
      </c>
      <c r="AT5" s="36">
        <f t="shared" si="0"/>
        <v>1.9631710722156182E-2</v>
      </c>
      <c r="AU5" s="36">
        <f t="shared" si="0"/>
        <v>7.8446349260233722E-3</v>
      </c>
      <c r="AV5" s="36">
        <f t="shared" si="0"/>
        <v>-0.13976472437497026</v>
      </c>
      <c r="AW5" s="36">
        <f t="shared" si="0"/>
        <v>0.17051261134858231</v>
      </c>
      <c r="AX5" s="36">
        <f t="shared" si="0"/>
        <v>0.26232204434012496</v>
      </c>
      <c r="AY5" s="36">
        <f t="shared" si="0"/>
        <v>0.21927482559641712</v>
      </c>
      <c r="AZ5" s="36">
        <f>AVERAGE(AP5:AY5)</f>
        <v>4.3076563576821748E-2</v>
      </c>
    </row>
    <row r="6" spans="1:57" ht="33" customHeight="1">
      <c r="N6" s="125">
        <f>N3+N4</f>
        <v>19150.91439555489</v>
      </c>
      <c r="O6" s="125">
        <f t="shared" ref="O6:R6" si="1">O3+O4</f>
        <v>19881.111707089574</v>
      </c>
      <c r="P6" s="125">
        <f t="shared" si="1"/>
        <v>20648.352453854313</v>
      </c>
      <c r="Q6" s="125">
        <f t="shared" si="1"/>
        <v>21453.443262577064</v>
      </c>
      <c r="R6" s="125">
        <f t="shared" si="1"/>
        <v>22297.302292817745</v>
      </c>
      <c r="U6" s="64" t="s">
        <v>103</v>
      </c>
      <c r="V6" s="65">
        <v>1347.34</v>
      </c>
      <c r="W6" s="69">
        <v>1639.11</v>
      </c>
      <c r="X6" s="69">
        <v>1236.08</v>
      </c>
      <c r="Y6" s="69">
        <v>1332.6</v>
      </c>
      <c r="Z6" s="69">
        <v>1472.27</v>
      </c>
      <c r="AA6" s="69">
        <v>1618.23</v>
      </c>
      <c r="AB6" s="69">
        <v>1708.24</v>
      </c>
      <c r="AC6" s="69">
        <v>1632</v>
      </c>
      <c r="AD6" s="69">
        <v>1789.73</v>
      </c>
      <c r="AE6" s="69">
        <v>1971.34</v>
      </c>
      <c r="AF6" s="69">
        <v>2166.02</v>
      </c>
      <c r="AG6" s="76">
        <f>POWER((AF6/V6),1/10)-1</f>
        <v>4.8620939937043861E-2</v>
      </c>
      <c r="AH6" s="78">
        <f>AF6*(1+AG16)</f>
        <v>2287.4412180095655</v>
      </c>
      <c r="AI6" s="78">
        <f>AH6*(1+AG16)</f>
        <v>2415.6689808261626</v>
      </c>
      <c r="AJ6" s="78">
        <f>AI6*(1+AG16)</f>
        <v>2551.0848449270661</v>
      </c>
      <c r="AK6" s="78">
        <f>AJ6*(1+AG165)</f>
        <v>2551.0848449270661</v>
      </c>
      <c r="AL6" s="78">
        <f>AK6*(1+AG16)</f>
        <v>2694.0917558128326</v>
      </c>
    </row>
    <row r="7" spans="1:57" ht="33" customHeight="1">
      <c r="A7" s="228" t="s">
        <v>629</v>
      </c>
      <c r="B7" s="228"/>
      <c r="C7" s="228"/>
      <c r="D7" s="228"/>
      <c r="U7" s="66" t="s">
        <v>104</v>
      </c>
      <c r="V7" s="73">
        <v>7726.23</v>
      </c>
      <c r="W7" s="74">
        <v>7892.51</v>
      </c>
      <c r="X7" s="74">
        <v>5141.72</v>
      </c>
      <c r="Y7" s="74">
        <v>4441.58</v>
      </c>
      <c r="Z7" s="74">
        <v>4726.57</v>
      </c>
      <c r="AA7" s="74">
        <v>4541.6499999999996</v>
      </c>
      <c r="AB7" s="74">
        <v>4116.3999999999996</v>
      </c>
      <c r="AC7" s="74">
        <v>4318.16</v>
      </c>
      <c r="AD7" s="74">
        <v>5978.36</v>
      </c>
      <c r="AE7" s="74">
        <v>6268.9</v>
      </c>
      <c r="AF7" s="74">
        <v>5995.26</v>
      </c>
      <c r="AG7" s="76">
        <f t="shared" ref="AG7:AG11" si="2">POWER((AF7/V7),1/10)-1</f>
        <v>-2.5046194069636374E-2</v>
      </c>
      <c r="AH7" s="78">
        <f>AF7*(1+AG9)</f>
        <v>6012.4549406750439</v>
      </c>
      <c r="AI7" s="78">
        <f>AH7+(1+AG9)</f>
        <v>6013.4578087642803</v>
      </c>
      <c r="AJ7" s="78">
        <f>AI7*(1+AG9)</f>
        <v>6030.7049423787657</v>
      </c>
      <c r="AK7" s="78">
        <f>AJ7*(1+AG9)</f>
        <v>6048.0015423115283</v>
      </c>
      <c r="AL7" s="78">
        <f>AK7*(1+AG9)</f>
        <v>6065.3477504363836</v>
      </c>
    </row>
    <row r="8" spans="1:57" ht="33" customHeight="1">
      <c r="A8" s="120"/>
      <c r="B8" s="120" t="s">
        <v>630</v>
      </c>
      <c r="C8" s="120" t="s">
        <v>631</v>
      </c>
      <c r="D8" s="120" t="s">
        <v>632</v>
      </c>
      <c r="U8" s="64" t="s">
        <v>633</v>
      </c>
      <c r="V8" s="65">
        <v>2517.98</v>
      </c>
      <c r="W8" s="69">
        <v>2371.7199999999998</v>
      </c>
      <c r="X8" s="69">
        <v>756.49</v>
      </c>
      <c r="Y8" s="69">
        <v>644.89</v>
      </c>
      <c r="Z8" s="69">
        <v>697.26</v>
      </c>
      <c r="AA8" s="69">
        <v>659.23</v>
      </c>
      <c r="AB8" s="69">
        <v>494.77</v>
      </c>
      <c r="AC8" s="69">
        <v>602.91</v>
      </c>
      <c r="AD8" s="69">
        <v>950.19</v>
      </c>
      <c r="AE8" s="69">
        <v>725.93</v>
      </c>
      <c r="AF8" s="69">
        <v>635.69000000000005</v>
      </c>
      <c r="AG8" s="76">
        <f t="shared" si="2"/>
        <v>-0.12859647915739092</v>
      </c>
      <c r="AH8" s="78"/>
      <c r="AI8" s="78"/>
      <c r="AJ8" s="78"/>
      <c r="AK8" s="78"/>
      <c r="AL8" s="78"/>
    </row>
    <row r="9" spans="1:57" ht="42" customHeight="1">
      <c r="A9" s="120">
        <v>2015</v>
      </c>
      <c r="B9" s="111">
        <v>3396.53</v>
      </c>
      <c r="C9" s="111">
        <v>3518.8</v>
      </c>
      <c r="D9" s="111">
        <v>-122.27</v>
      </c>
      <c r="E9" s="71">
        <f>D9/C5</f>
        <v>-6.3644005819415922E-3</v>
      </c>
      <c r="U9" s="64" t="s">
        <v>106</v>
      </c>
      <c r="V9" s="65">
        <v>5208.25</v>
      </c>
      <c r="W9" s="69">
        <v>5520.8</v>
      </c>
      <c r="X9" s="69">
        <v>4385.2299999999996</v>
      </c>
      <c r="Y9" s="69">
        <v>3796.69</v>
      </c>
      <c r="Z9" s="69">
        <v>4029.31</v>
      </c>
      <c r="AA9" s="69">
        <v>3882.42</v>
      </c>
      <c r="AB9" s="69">
        <v>3621.63</v>
      </c>
      <c r="AC9" s="69">
        <v>3715.24</v>
      </c>
      <c r="AD9" s="69">
        <v>5028.17</v>
      </c>
      <c r="AE9" s="69">
        <v>5542.97</v>
      </c>
      <c r="AF9" s="69">
        <v>5359.57</v>
      </c>
      <c r="AG9" s="76">
        <f t="shared" si="2"/>
        <v>2.8680892363373012E-3</v>
      </c>
      <c r="AH9" s="78"/>
      <c r="AI9" s="78"/>
      <c r="AJ9" s="78"/>
      <c r="AK9" s="78"/>
      <c r="AL9" s="78"/>
    </row>
    <row r="10" spans="1:57" ht="27.6">
      <c r="A10" s="120">
        <v>2016</v>
      </c>
      <c r="B10" s="111">
        <v>2867.53</v>
      </c>
      <c r="C10" s="111">
        <v>3151</v>
      </c>
      <c r="D10" s="111">
        <v>-283.47000000000003</v>
      </c>
      <c r="E10" s="71">
        <f>D10/D5</f>
        <v>-1.9996726820741235E-2</v>
      </c>
      <c r="U10" s="66" t="s">
        <v>108</v>
      </c>
      <c r="V10" s="68">
        <v>1062.4100000000001</v>
      </c>
      <c r="W10" s="68">
        <v>1250.43</v>
      </c>
      <c r="X10" s="68">
        <v>1209.58</v>
      </c>
      <c r="Y10" s="68">
        <v>1219.72</v>
      </c>
      <c r="Z10" s="68">
        <v>1286.94</v>
      </c>
      <c r="AA10" s="68">
        <v>1402.02</v>
      </c>
      <c r="AB10" s="68">
        <v>1482.98</v>
      </c>
      <c r="AC10" s="68">
        <v>1344.96</v>
      </c>
      <c r="AD10" s="68">
        <v>1469.53</v>
      </c>
      <c r="AE10" s="68">
        <v>1570.6</v>
      </c>
      <c r="AF10" s="68">
        <v>1660.48</v>
      </c>
      <c r="AG10" s="76">
        <f t="shared" si="2"/>
        <v>4.5668799770973934E-2</v>
      </c>
      <c r="AH10" s="78">
        <f>AF10*(1+AG10)</f>
        <v>1736.3121286437067</v>
      </c>
      <c r="AI10" s="78">
        <f>AH10*(1+AG10)</f>
        <v>1815.6074195866497</v>
      </c>
      <c r="AJ10" s="78">
        <f>AI10*(1+AG10)</f>
        <v>1898.524031294447</v>
      </c>
      <c r="AK10" s="78">
        <f>AJ10*(1+AG10)</f>
        <v>1985.2273451400154</v>
      </c>
      <c r="AL10" s="78">
        <f>AK10*(1+AG10)</f>
        <v>2075.8902952650769</v>
      </c>
    </row>
    <row r="11" spans="1:57" ht="17.399999999999999">
      <c r="A11" s="120">
        <v>2017</v>
      </c>
      <c r="B11" s="111">
        <v>2712.53</v>
      </c>
      <c r="C11" s="111">
        <v>3479.4</v>
      </c>
      <c r="D11" s="111">
        <v>-766.87</v>
      </c>
      <c r="E11" s="71">
        <f>D11/E5</f>
        <v>-5.4081672232075793E-2</v>
      </c>
      <c r="U11" s="66" t="s">
        <v>112</v>
      </c>
      <c r="V11" s="68">
        <v>4318.12</v>
      </c>
      <c r="W11" s="68">
        <v>5229.29</v>
      </c>
      <c r="X11" s="68">
        <v>3810.25</v>
      </c>
      <c r="Y11" s="68">
        <v>3982.24</v>
      </c>
      <c r="Z11" s="68">
        <v>3866.01</v>
      </c>
      <c r="AA11" s="68">
        <v>3745.8</v>
      </c>
      <c r="AB11" s="68">
        <v>4261.22</v>
      </c>
      <c r="AC11" s="68">
        <v>4631.5200000000004</v>
      </c>
      <c r="AD11" s="68">
        <v>4493.2</v>
      </c>
      <c r="AE11" s="68">
        <v>4497.25</v>
      </c>
      <c r="AF11" s="68">
        <v>5381.49</v>
      </c>
      <c r="AG11" s="76">
        <f t="shared" si="2"/>
        <v>2.2258623995607074E-2</v>
      </c>
      <c r="AH11" s="78">
        <f>AF11*(1+AG11)</f>
        <v>5501.2745624461195</v>
      </c>
      <c r="AI11" s="78">
        <f>AH11*(1+AG11)</f>
        <v>5623.7253644282055</v>
      </c>
      <c r="AJ11" s="78">
        <f>AI11*(1+AG11)</f>
        <v>5748.9017527695714</v>
      </c>
      <c r="AK11" s="78">
        <f>AJ11*(1+AG11)</f>
        <v>5876.8643952721559</v>
      </c>
      <c r="AL11" s="78">
        <f>AK11*(1+AG11)</f>
        <v>6007.6753101196891</v>
      </c>
    </row>
    <row r="12" spans="1:57" ht="17.399999999999999">
      <c r="A12" s="120">
        <v>2018</v>
      </c>
      <c r="B12" s="111">
        <v>1931.81</v>
      </c>
      <c r="C12" s="111">
        <v>2403</v>
      </c>
      <c r="D12" s="111">
        <v>-471.19</v>
      </c>
      <c r="E12" s="71">
        <f>D12/F5</f>
        <v>-3.2285604850617669E-2</v>
      </c>
      <c r="U12" s="66" t="s">
        <v>115</v>
      </c>
      <c r="V12" s="68">
        <v>14454.1</v>
      </c>
      <c r="W12" s="68">
        <f t="shared" ref="W12:AF12" si="3">W5+W10+W11</f>
        <v>16011.34</v>
      </c>
      <c r="X12" s="68">
        <f t="shared" si="3"/>
        <v>11397.630000000001</v>
      </c>
      <c r="Y12" s="68">
        <f t="shared" si="3"/>
        <v>10976.15</v>
      </c>
      <c r="Z12" s="68">
        <f t="shared" si="3"/>
        <v>11351.79</v>
      </c>
      <c r="AA12" s="68">
        <f t="shared" si="3"/>
        <v>11307.689999999999</v>
      </c>
      <c r="AB12" s="68">
        <f t="shared" si="3"/>
        <v>11568.84</v>
      </c>
      <c r="AC12" s="68">
        <f t="shared" si="3"/>
        <v>11926.64</v>
      </c>
      <c r="AD12" s="68">
        <f t="shared" si="3"/>
        <v>13730.82</v>
      </c>
      <c r="AE12" s="68">
        <f t="shared" si="3"/>
        <v>14308.09</v>
      </c>
      <c r="AF12" s="68">
        <f t="shared" si="3"/>
        <v>15203.25</v>
      </c>
      <c r="AG12" s="76"/>
      <c r="AH12" s="79">
        <f>SUM(AH6:AH11)</f>
        <v>15537.482849774435</v>
      </c>
      <c r="AI12" s="79">
        <f t="shared" ref="AI12:AL12" si="4">SUM(AI6:AI11)</f>
        <v>15868.459573605298</v>
      </c>
      <c r="AJ12" s="79">
        <f t="shared" si="4"/>
        <v>16229.215571369852</v>
      </c>
      <c r="AK12" s="79">
        <f t="shared" si="4"/>
        <v>16461.178127650768</v>
      </c>
      <c r="AL12" s="79">
        <f t="shared" si="4"/>
        <v>16843.005111633982</v>
      </c>
    </row>
    <row r="13" spans="1:57" ht="18" customHeight="1">
      <c r="A13" s="120">
        <v>2019</v>
      </c>
      <c r="B13" s="111">
        <v>2220.09</v>
      </c>
      <c r="C13" s="111">
        <v>2515.5</v>
      </c>
      <c r="D13" s="111">
        <v>-295.41000000000003</v>
      </c>
      <c r="E13" s="71">
        <f>D13/G5</f>
        <v>-2.0182428217823477E-2</v>
      </c>
      <c r="U13" s="225" t="s">
        <v>634</v>
      </c>
      <c r="V13" s="226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6"/>
    </row>
    <row r="14" spans="1:57" ht="17.399999999999999">
      <c r="A14" s="120">
        <v>2020</v>
      </c>
      <c r="B14" s="111">
        <v>2053.13</v>
      </c>
      <c r="C14" s="111">
        <v>3772.5</v>
      </c>
      <c r="D14" s="111">
        <v>-1719.37</v>
      </c>
      <c r="E14" s="71">
        <f>D14/H5</f>
        <v>-0.11884156140381191</v>
      </c>
      <c r="U14" s="66" t="s">
        <v>101</v>
      </c>
      <c r="V14" s="65"/>
      <c r="W14" s="71">
        <f t="shared" ref="W14:AF14" si="5">(W4-V4)/V4</f>
        <v>5.0481783906444887E-2</v>
      </c>
      <c r="X14" s="71">
        <f t="shared" si="5"/>
        <v>-0.33087974552069849</v>
      </c>
      <c r="Y14" s="71">
        <f t="shared" si="5"/>
        <v>-9.4642353162532625E-2</v>
      </c>
      <c r="Z14" s="71">
        <f t="shared" si="5"/>
        <v>7.354278262405646E-2</v>
      </c>
      <c r="AA14" s="71">
        <f t="shared" si="5"/>
        <v>-6.286660084790098E-3</v>
      </c>
      <c r="AB14" s="71">
        <f t="shared" si="5"/>
        <v>-5.4421603053311118E-2</v>
      </c>
      <c r="AC14" s="71">
        <f t="shared" si="5"/>
        <v>2.1549829689045077E-2</v>
      </c>
      <c r="AD14" s="71">
        <f t="shared" si="5"/>
        <v>0.30552623794990391</v>
      </c>
      <c r="AE14" s="71">
        <f t="shared" si="5"/>
        <v>6.0780706711688413E-2</v>
      </c>
      <c r="AF14" s="71">
        <f t="shared" si="5"/>
        <v>-9.5822451773249374E-3</v>
      </c>
      <c r="AG14" s="71">
        <f>AVERAGE(W14:AF14)</f>
        <v>1.606873388248143E-3</v>
      </c>
    </row>
    <row r="15" spans="1:57" ht="17.399999999999999">
      <c r="A15" s="120">
        <v>2021</v>
      </c>
      <c r="B15" s="111">
        <v>2359.35</v>
      </c>
      <c r="C15" s="111">
        <v>3202</v>
      </c>
      <c r="D15" s="111">
        <v>-842.65</v>
      </c>
      <c r="E15" s="71">
        <f>D15/I5</f>
        <v>-6.0389996180161637E-2</v>
      </c>
      <c r="U15" s="66" t="s">
        <v>102</v>
      </c>
      <c r="V15" s="65"/>
      <c r="W15" s="71">
        <f t="shared" ref="W15:AF15" si="6">(W5-V5)/V5</f>
        <v>5.0481783906444887E-2</v>
      </c>
      <c r="X15" s="71">
        <f t="shared" si="6"/>
        <v>-0.33087974552069849</v>
      </c>
      <c r="Y15" s="71">
        <f t="shared" si="6"/>
        <v>-9.4642353162532625E-2</v>
      </c>
      <c r="Z15" s="71">
        <f t="shared" si="6"/>
        <v>7.354278262405646E-2</v>
      </c>
      <c r="AA15" s="71">
        <f t="shared" si="6"/>
        <v>-6.286660084790098E-3</v>
      </c>
      <c r="AB15" s="71">
        <f t="shared" si="6"/>
        <v>-5.4421603053311118E-2</v>
      </c>
      <c r="AC15" s="71">
        <f t="shared" si="6"/>
        <v>2.1549829689045077E-2</v>
      </c>
      <c r="AD15" s="71">
        <f t="shared" si="6"/>
        <v>0.30552623794990391</v>
      </c>
      <c r="AE15" s="71">
        <f t="shared" si="6"/>
        <v>6.0780706711688413E-2</v>
      </c>
      <c r="AF15" s="71">
        <f t="shared" si="6"/>
        <v>-9.5822451773249374E-3</v>
      </c>
      <c r="AG15" s="71">
        <f t="shared" ref="AG15:AG22" si="7">AVERAGE(W15:AF15)</f>
        <v>1.606873388248143E-3</v>
      </c>
    </row>
    <row r="16" spans="1:57" ht="17.399999999999999">
      <c r="A16" s="120">
        <v>2022</v>
      </c>
      <c r="B16" s="111">
        <v>2163.2399999999998</v>
      </c>
      <c r="C16" s="111">
        <v>2193.4</v>
      </c>
      <c r="D16" s="111">
        <v>-30.16</v>
      </c>
      <c r="E16" s="71">
        <f>D16/I5</f>
        <v>-2.1614695126015251E-3</v>
      </c>
      <c r="U16" s="64" t="s">
        <v>103</v>
      </c>
      <c r="V16" s="65"/>
      <c r="W16" s="71">
        <f t="shared" ref="W16:AF16" si="8">(W6-V6)/V6</f>
        <v>0.21655261478171806</v>
      </c>
      <c r="X16" s="71">
        <f t="shared" si="8"/>
        <v>-0.24588343674311058</v>
      </c>
      <c r="Y16" s="71">
        <f t="shared" si="8"/>
        <v>7.8085560805125867E-2</v>
      </c>
      <c r="Z16" s="71">
        <f t="shared" si="8"/>
        <v>0.1048101455800691</v>
      </c>
      <c r="AA16" s="71">
        <f t="shared" si="8"/>
        <v>9.9139424154536901E-2</v>
      </c>
      <c r="AB16" s="71">
        <f t="shared" si="8"/>
        <v>5.5622501127775406E-2</v>
      </c>
      <c r="AC16" s="71">
        <f t="shared" si="8"/>
        <v>-4.4630731044818066E-2</v>
      </c>
      <c r="AD16" s="71">
        <f t="shared" si="8"/>
        <v>9.6648284313725505E-2</v>
      </c>
      <c r="AE16" s="71">
        <f t="shared" si="8"/>
        <v>0.10147340660323059</v>
      </c>
      <c r="AF16" s="71">
        <f t="shared" si="8"/>
        <v>9.8755161463775942E-2</v>
      </c>
      <c r="AG16" s="71">
        <f t="shared" si="7"/>
        <v>5.6057293104202877E-2</v>
      </c>
    </row>
    <row r="17" spans="1:49" ht="17.399999999999999">
      <c r="A17" s="120">
        <v>2023</v>
      </c>
      <c r="B17" s="111">
        <v>3271.6</v>
      </c>
      <c r="C17" s="111">
        <v>2831.1</v>
      </c>
      <c r="D17" s="111">
        <v>440.5</v>
      </c>
      <c r="E17" s="71">
        <f>D17/J5</f>
        <v>2.7162971043224581E-2</v>
      </c>
      <c r="U17" s="66" t="s">
        <v>104</v>
      </c>
      <c r="V17" s="65"/>
      <c r="W17" s="71">
        <f t="shared" ref="W17:AF17" si="9">(W7-V7)/V7</f>
        <v>2.1521492370794121E-2</v>
      </c>
      <c r="X17" s="71">
        <f t="shared" si="9"/>
        <v>-0.34853170917743531</v>
      </c>
      <c r="Y17" s="71">
        <f t="shared" si="9"/>
        <v>-0.13616844168877346</v>
      </c>
      <c r="Z17" s="71">
        <f t="shared" si="9"/>
        <v>6.4164103764876412E-2</v>
      </c>
      <c r="AA17" s="71">
        <f t="shared" si="9"/>
        <v>-3.912350816765648E-2</v>
      </c>
      <c r="AB17" s="71">
        <f t="shared" si="9"/>
        <v>-9.3633371131637194E-2</v>
      </c>
      <c r="AC17" s="71">
        <f t="shared" si="9"/>
        <v>4.9013701292391465E-2</v>
      </c>
      <c r="AD17" s="71">
        <f t="shared" si="9"/>
        <v>0.38446931100283449</v>
      </c>
      <c r="AE17" s="71">
        <f t="shared" si="9"/>
        <v>4.8598612328464658E-2</v>
      </c>
      <c r="AF17" s="71">
        <f t="shared" si="9"/>
        <v>-4.3650401186810996E-2</v>
      </c>
      <c r="AG17" s="71">
        <f t="shared" si="7"/>
        <v>-9.3340210592952333E-3</v>
      </c>
    </row>
    <row r="18" spans="1:49" ht="17.399999999999999">
      <c r="A18" s="120">
        <v>2024</v>
      </c>
      <c r="B18" s="111">
        <v>3559.4</v>
      </c>
      <c r="C18" s="111">
        <v>2910.3</v>
      </c>
      <c r="D18" s="111">
        <v>649.1</v>
      </c>
      <c r="E18" s="71">
        <f>D18/L5</f>
        <v>3.5168095477776266E-2</v>
      </c>
      <c r="F18" s="118"/>
      <c r="U18" s="64" t="s">
        <v>633</v>
      </c>
      <c r="V18" s="65"/>
      <c r="W18" s="71">
        <f t="shared" ref="W18:AF18" si="10">(W8-V8)/V8</f>
        <v>-5.8086243735057552E-2</v>
      </c>
      <c r="X18" s="71">
        <f t="shared" si="10"/>
        <v>-0.6810373905857352</v>
      </c>
      <c r="Y18" s="71">
        <f t="shared" si="10"/>
        <v>-0.1475234305807083</v>
      </c>
      <c r="Z18" s="71">
        <f t="shared" si="10"/>
        <v>8.12076478159066E-2</v>
      </c>
      <c r="AA18" s="71">
        <f t="shared" si="10"/>
        <v>-5.454206465307055E-2</v>
      </c>
      <c r="AB18" s="71">
        <f t="shared" si="10"/>
        <v>-0.24947286986332545</v>
      </c>
      <c r="AC18" s="71">
        <f t="shared" si="10"/>
        <v>0.21856620247791902</v>
      </c>
      <c r="AD18" s="71">
        <f t="shared" si="10"/>
        <v>0.57600636910981751</v>
      </c>
      <c r="AE18" s="71">
        <f t="shared" si="10"/>
        <v>-0.23601595470379619</v>
      </c>
      <c r="AF18" s="71">
        <f t="shared" si="10"/>
        <v>-0.12430950642623931</v>
      </c>
      <c r="AG18" s="71">
        <f t="shared" si="7"/>
        <v>-6.7520724114428929E-2</v>
      </c>
    </row>
    <row r="19" spans="1:49" ht="34.799999999999997">
      <c r="A19" s="120"/>
      <c r="B19" s="120" t="s">
        <v>635</v>
      </c>
      <c r="C19" s="120" t="s">
        <v>636</v>
      </c>
      <c r="D19" s="120"/>
      <c r="U19" s="64" t="s">
        <v>106</v>
      </c>
      <c r="V19" s="65"/>
      <c r="W19" s="71">
        <f t="shared" ref="W19:AF19" si="11">(W9-V9)/V9</f>
        <v>6.0010560168962737E-2</v>
      </c>
      <c r="X19" s="71">
        <f t="shared" si="11"/>
        <v>-0.20568939284161727</v>
      </c>
      <c r="Y19" s="71">
        <f t="shared" si="11"/>
        <v>-0.13420960816194352</v>
      </c>
      <c r="Z19" s="71">
        <f t="shared" si="11"/>
        <v>6.1269158135112398E-2</v>
      </c>
      <c r="AA19" s="71">
        <f t="shared" si="11"/>
        <v>-3.6455373252492332E-2</v>
      </c>
      <c r="AB19" s="71">
        <f t="shared" si="11"/>
        <v>-6.7172021574172805E-2</v>
      </c>
      <c r="AC19" s="71">
        <f t="shared" si="11"/>
        <v>2.5847477517029534E-2</v>
      </c>
      <c r="AD19" s="71">
        <f t="shared" si="11"/>
        <v>0.35339035970758292</v>
      </c>
      <c r="AE19" s="71">
        <f t="shared" si="11"/>
        <v>0.10238317320217896</v>
      </c>
      <c r="AF19" s="71">
        <f t="shared" si="11"/>
        <v>-3.3086955188283633E-2</v>
      </c>
      <c r="AG19" s="71">
        <f t="shared" si="7"/>
        <v>1.2628737771235701E-2</v>
      </c>
    </row>
    <row r="20" spans="1:49" ht="27.6">
      <c r="A20" s="120">
        <v>2025</v>
      </c>
      <c r="B20" s="112">
        <f>N5</f>
        <v>19343.00936</v>
      </c>
      <c r="C20" s="121">
        <f>B20*0.01</f>
        <v>193.43009359999999</v>
      </c>
      <c r="D20" s="111"/>
      <c r="U20" s="66" t="s">
        <v>108</v>
      </c>
      <c r="V20" s="65"/>
      <c r="W20" s="71">
        <f t="shared" ref="W20:AF20" si="12">(W10-V10)/V10</f>
        <v>0.176974990822752</v>
      </c>
      <c r="X20" s="71">
        <f t="shared" si="12"/>
        <v>-3.2668761945890724E-2</v>
      </c>
      <c r="Y20" s="71">
        <f t="shared" si="12"/>
        <v>8.3830751169828369E-3</v>
      </c>
      <c r="Z20" s="71">
        <f t="shared" si="12"/>
        <v>5.5111009084052101E-2</v>
      </c>
      <c r="AA20" s="71">
        <f t="shared" si="12"/>
        <v>8.942141824793691E-2</v>
      </c>
      <c r="AB20" s="71">
        <f t="shared" si="12"/>
        <v>5.7745253277414046E-2</v>
      </c>
      <c r="AC20" s="71">
        <f t="shared" si="12"/>
        <v>-9.3069360342014046E-2</v>
      </c>
      <c r="AD20" s="71">
        <f t="shared" si="12"/>
        <v>9.2619854865572157E-2</v>
      </c>
      <c r="AE20" s="71">
        <f t="shared" si="12"/>
        <v>6.8777091995399844E-2</v>
      </c>
      <c r="AF20" s="71">
        <f t="shared" si="12"/>
        <v>5.7226537628931692E-2</v>
      </c>
      <c r="AG20" s="71">
        <f t="shared" si="7"/>
        <v>4.8052110875113678E-2</v>
      </c>
    </row>
    <row r="21" spans="1:49" ht="17.399999999999999">
      <c r="A21" s="120">
        <v>2026</v>
      </c>
      <c r="B21" s="112">
        <f>O5</f>
        <v>20271.47380928</v>
      </c>
      <c r="C21" s="121">
        <f t="shared" ref="C21:C24" si="13">B21*0.01</f>
        <v>202.71473809279999</v>
      </c>
      <c r="D21" s="111"/>
      <c r="U21" s="66" t="s">
        <v>112</v>
      </c>
      <c r="V21" s="65"/>
      <c r="W21" s="71">
        <f t="shared" ref="W21:AF21" si="14">(W11-V11)/V11</f>
        <v>0.21101081026002058</v>
      </c>
      <c r="X21" s="71">
        <f t="shared" si="14"/>
        <v>-0.27136379890960338</v>
      </c>
      <c r="Y21" s="71">
        <f t="shared" si="14"/>
        <v>4.5138770421888269E-2</v>
      </c>
      <c r="Z21" s="71">
        <f t="shared" si="14"/>
        <v>-2.9187090682630774E-2</v>
      </c>
      <c r="AA21" s="71">
        <f t="shared" si="14"/>
        <v>-3.1094073734936029E-2</v>
      </c>
      <c r="AB21" s="71">
        <f t="shared" si="14"/>
        <v>0.13759944471141011</v>
      </c>
      <c r="AC21" s="71">
        <f t="shared" si="14"/>
        <v>8.689999577585765E-2</v>
      </c>
      <c r="AD21" s="71">
        <f t="shared" si="14"/>
        <v>-2.9864925553598085E-2</v>
      </c>
      <c r="AE21" s="71">
        <f t="shared" si="14"/>
        <v>9.0136205822135271E-4</v>
      </c>
      <c r="AF21" s="71">
        <f t="shared" si="14"/>
        <v>0.19661793318138857</v>
      </c>
      <c r="AG21" s="71">
        <f t="shared" si="7"/>
        <v>3.1665842752801827E-2</v>
      </c>
    </row>
    <row r="22" spans="1:49" ht="17.399999999999999">
      <c r="A22" s="120">
        <v>2027</v>
      </c>
      <c r="B22" s="112">
        <f>P5</f>
        <v>21244.50455212544</v>
      </c>
      <c r="C22" s="121">
        <f t="shared" si="13"/>
        <v>212.4450455212544</v>
      </c>
      <c r="D22" s="111"/>
      <c r="U22" s="66" t="s">
        <v>115</v>
      </c>
      <c r="V22" s="65"/>
      <c r="W22" s="71">
        <f t="shared" ref="W22:AF22" si="15">(W12-V12)/V12</f>
        <v>0.10773690509959111</v>
      </c>
      <c r="X22" s="71">
        <f t="shared" si="15"/>
        <v>-0.28815264681157227</v>
      </c>
      <c r="Y22" s="71">
        <f t="shared" si="15"/>
        <v>-3.6979617692450215E-2</v>
      </c>
      <c r="Z22" s="71">
        <f t="shared" si="15"/>
        <v>3.4223293231233284E-2</v>
      </c>
      <c r="AA22" s="71">
        <f t="shared" si="15"/>
        <v>-3.8848498783013233E-3</v>
      </c>
      <c r="AB22" s="71">
        <f t="shared" si="15"/>
        <v>2.3094902672429248E-2</v>
      </c>
      <c r="AC22" s="71">
        <f t="shared" si="15"/>
        <v>3.0927906341517323E-2</v>
      </c>
      <c r="AD22" s="71">
        <f t="shared" si="15"/>
        <v>0.15127311631775592</v>
      </c>
      <c r="AE22" s="71">
        <f t="shared" si="15"/>
        <v>4.2041917380025405E-2</v>
      </c>
      <c r="AF22" s="71">
        <f t="shared" si="15"/>
        <v>6.2563207248486685E-2</v>
      </c>
      <c r="AG22" s="71">
        <f t="shared" si="7"/>
        <v>1.2284413390871518E-2</v>
      </c>
      <c r="AH22" s="79"/>
      <c r="AI22" s="79"/>
      <c r="AJ22" s="79"/>
      <c r="AK22" s="79"/>
      <c r="AL22" s="79"/>
    </row>
    <row r="23" spans="1:49" ht="17.399999999999999">
      <c r="A23" s="120">
        <v>2028</v>
      </c>
      <c r="B23" s="112">
        <f>Q5</f>
        <v>22264.240770627461</v>
      </c>
      <c r="C23" s="121">
        <f t="shared" si="13"/>
        <v>222.64240770627461</v>
      </c>
      <c r="D23" s="111"/>
      <c r="W23" s="72"/>
    </row>
    <row r="24" spans="1:49" ht="19.05" customHeight="1">
      <c r="A24" s="120">
        <v>2029</v>
      </c>
      <c r="B24" s="112">
        <f>R5</f>
        <v>23332.92432761758</v>
      </c>
      <c r="C24" s="121">
        <f t="shared" si="13"/>
        <v>233.32924327617582</v>
      </c>
      <c r="D24" s="111"/>
      <c r="AO24" s="218" t="s">
        <v>637</v>
      </c>
      <c r="AP24" s="219"/>
      <c r="AQ24" s="219"/>
      <c r="AR24" s="219"/>
      <c r="AS24" s="219"/>
      <c r="AT24" s="219"/>
      <c r="AU24" s="219"/>
      <c r="AV24" s="219"/>
      <c r="AW24" s="220"/>
    </row>
    <row r="25" spans="1:49" ht="15.6">
      <c r="AO25" s="91"/>
      <c r="AP25" s="213" t="s">
        <v>638</v>
      </c>
      <c r="AQ25" s="213"/>
      <c r="AR25" s="92"/>
      <c r="AS25" s="213" t="s">
        <v>639</v>
      </c>
      <c r="AT25" s="213"/>
      <c r="AU25" s="92"/>
      <c r="AV25" s="213" t="s">
        <v>640</v>
      </c>
      <c r="AW25" s="213"/>
    </row>
    <row r="26" spans="1:49" ht="17.399999999999999">
      <c r="U26" s="214"/>
      <c r="V26" s="215" t="s">
        <v>616</v>
      </c>
      <c r="W26" s="216"/>
      <c r="X26" s="216"/>
      <c r="Y26" s="216"/>
      <c r="Z26" s="216"/>
      <c r="AO26" s="84" t="s">
        <v>641</v>
      </c>
      <c r="AP26" s="84">
        <v>45.94</v>
      </c>
      <c r="AQ26" s="84"/>
      <c r="AR26" s="33"/>
      <c r="AS26" s="33">
        <v>0</v>
      </c>
      <c r="AT26" s="84"/>
      <c r="AU26" s="33"/>
      <c r="AV26" s="84">
        <v>27470</v>
      </c>
      <c r="AW26" s="33"/>
    </row>
    <row r="27" spans="1:49" ht="17.399999999999999">
      <c r="U27" s="214"/>
      <c r="V27" s="32" t="s">
        <v>621</v>
      </c>
      <c r="W27" s="32" t="s">
        <v>622</v>
      </c>
      <c r="X27" s="32" t="s">
        <v>623</v>
      </c>
      <c r="Y27" s="77" t="s">
        <v>624</v>
      </c>
      <c r="Z27" s="77" t="s">
        <v>625</v>
      </c>
      <c r="AA27" s="36">
        <v>2018</v>
      </c>
      <c r="AB27" s="36">
        <v>2019</v>
      </c>
      <c r="AC27" s="36">
        <v>2020</v>
      </c>
      <c r="AD27" s="36">
        <v>2021</v>
      </c>
      <c r="AE27" s="36">
        <v>2022</v>
      </c>
      <c r="AF27" s="36">
        <v>2023</v>
      </c>
      <c r="AG27" s="36">
        <v>2024</v>
      </c>
      <c r="AH27" s="32" t="s">
        <v>621</v>
      </c>
      <c r="AI27" s="32" t="s">
        <v>622</v>
      </c>
      <c r="AJ27" s="32" t="s">
        <v>623</v>
      </c>
      <c r="AK27" s="77" t="s">
        <v>624</v>
      </c>
      <c r="AL27" s="77" t="s">
        <v>625</v>
      </c>
      <c r="AO27" s="84" t="s">
        <v>642</v>
      </c>
      <c r="AP27" s="33">
        <v>577.66999999999996</v>
      </c>
      <c r="AQ27" s="33"/>
      <c r="AR27" s="33"/>
      <c r="AS27" s="33">
        <v>0</v>
      </c>
      <c r="AT27" s="84"/>
      <c r="AU27" s="84"/>
      <c r="AV27" s="84"/>
      <c r="AW27" s="33"/>
    </row>
    <row r="28" spans="1:49" ht="15.6">
      <c r="U28" s="93" t="s">
        <v>643</v>
      </c>
      <c r="V28" s="94">
        <f>N5</f>
        <v>19343.00936</v>
      </c>
      <c r="W28" s="94">
        <f t="shared" ref="W28:Z28" si="16">O5</f>
        <v>20271.47380928</v>
      </c>
      <c r="X28" s="94">
        <f t="shared" si="16"/>
        <v>21244.50455212544</v>
      </c>
      <c r="Y28" s="94">
        <f t="shared" si="16"/>
        <v>22264.240770627461</v>
      </c>
      <c r="Z28" s="94">
        <f t="shared" si="16"/>
        <v>23332.92432761758</v>
      </c>
      <c r="AA28" s="36">
        <f t="shared" ref="AA28:AG28" si="17">F5</f>
        <v>14594.43</v>
      </c>
      <c r="AB28" s="36">
        <f t="shared" si="17"/>
        <v>14636.99</v>
      </c>
      <c r="AC28" s="36">
        <f t="shared" si="17"/>
        <v>14467.75</v>
      </c>
      <c r="AD28" s="36">
        <f t="shared" si="17"/>
        <v>13953.47</v>
      </c>
      <c r="AE28" s="36">
        <f t="shared" si="17"/>
        <v>16216.93</v>
      </c>
      <c r="AF28" s="36">
        <f t="shared" si="17"/>
        <v>17365.64</v>
      </c>
      <c r="AG28" s="36">
        <f t="shared" si="17"/>
        <v>18457.07</v>
      </c>
      <c r="AO28" s="61" t="s">
        <v>644</v>
      </c>
      <c r="AP28" s="85">
        <f>AP26*AP27</f>
        <v>26538.159799999998</v>
      </c>
      <c r="AQ28" s="84"/>
      <c r="AR28" s="61" t="s">
        <v>645</v>
      </c>
      <c r="AS28" s="85">
        <f>AS26*AS27</f>
        <v>0</v>
      </c>
      <c r="AT28" s="84"/>
      <c r="AU28" s="85" t="s">
        <v>646</v>
      </c>
      <c r="AV28" s="85">
        <f>AV26</f>
        <v>27470</v>
      </c>
      <c r="AW28" s="33"/>
    </row>
    <row r="29" spans="1:49" ht="15.6">
      <c r="U29" s="96" t="s">
        <v>647</v>
      </c>
      <c r="V29" s="97">
        <f>(N5-L5)/L5</f>
        <v>4.8000000000000015E-2</v>
      </c>
      <c r="W29" s="97">
        <f>(W28-V28)/V28</f>
        <v>4.7999999999999994E-2</v>
      </c>
      <c r="X29" s="98">
        <f>(X28-W28)/W28</f>
        <v>4.7999999999999994E-2</v>
      </c>
      <c r="Y29" s="99">
        <f>(Y28-X28)/X28</f>
        <v>4.8000000000000001E-2</v>
      </c>
      <c r="Z29" s="97">
        <f>(Z28-Y28)/Y28</f>
        <v>4.8000000000000063E-2</v>
      </c>
      <c r="AO29" s="85" t="s">
        <v>648</v>
      </c>
      <c r="AP29" s="85"/>
      <c r="AQ29" s="85">
        <f>AP28+AV28</f>
        <v>54008.159799999994</v>
      </c>
      <c r="AR29" s="84"/>
      <c r="AS29" s="84"/>
      <c r="AT29" s="84"/>
      <c r="AU29" s="84"/>
      <c r="AV29" s="33"/>
      <c r="AW29" s="33"/>
    </row>
    <row r="30" spans="1:49" ht="15.6">
      <c r="U30" s="100" t="s">
        <v>649</v>
      </c>
      <c r="V30" s="95">
        <f>AH12</f>
        <v>15537.482849774435</v>
      </c>
      <c r="W30" s="95">
        <f t="shared" ref="W30:Z30" si="18">AI12</f>
        <v>15868.459573605298</v>
      </c>
      <c r="X30" s="95">
        <f t="shared" si="18"/>
        <v>16229.215571369852</v>
      </c>
      <c r="Y30" s="95">
        <f t="shared" si="18"/>
        <v>16461.178127650768</v>
      </c>
      <c r="Z30" s="95">
        <f t="shared" si="18"/>
        <v>16843.005111633982</v>
      </c>
      <c r="AA30" s="36">
        <f t="shared" ref="AA30:AG30" si="19">Z12</f>
        <v>11351.79</v>
      </c>
      <c r="AB30" s="36">
        <f t="shared" si="19"/>
        <v>11307.689999999999</v>
      </c>
      <c r="AC30" s="36">
        <f t="shared" si="19"/>
        <v>11568.84</v>
      </c>
      <c r="AD30" s="36">
        <f t="shared" si="19"/>
        <v>11926.64</v>
      </c>
      <c r="AE30" s="36">
        <f t="shared" si="19"/>
        <v>13730.82</v>
      </c>
      <c r="AF30" s="36">
        <f t="shared" si="19"/>
        <v>14308.09</v>
      </c>
      <c r="AG30" s="36">
        <f t="shared" si="19"/>
        <v>15203.25</v>
      </c>
      <c r="AO30" s="61" t="s">
        <v>650</v>
      </c>
      <c r="AP30" s="33"/>
      <c r="AQ30" s="86">
        <f>DDM!F18</f>
        <v>6.9247500000000003E-2</v>
      </c>
      <c r="AR30" s="84"/>
      <c r="AS30" s="33"/>
      <c r="AT30" s="84"/>
      <c r="AU30" s="84"/>
      <c r="AV30" s="33"/>
      <c r="AW30" s="33"/>
    </row>
    <row r="31" spans="1:49" ht="15.6">
      <c r="U31" s="93" t="s">
        <v>651</v>
      </c>
      <c r="V31" s="95">
        <f>AH6</f>
        <v>2287.4412180095655</v>
      </c>
      <c r="W31" s="95">
        <f>AI6</f>
        <v>2415.6689808261626</v>
      </c>
      <c r="X31" s="95">
        <f>AJ6</f>
        <v>2551.0848449270661</v>
      </c>
      <c r="Y31" s="95">
        <f>AK6</f>
        <v>2551.0848449270661</v>
      </c>
      <c r="Z31" s="95">
        <f>AL6</f>
        <v>2694.0917558128326</v>
      </c>
      <c r="AA31" s="36">
        <f t="shared" ref="AA31:AG31" si="20">Z6</f>
        <v>1472.27</v>
      </c>
      <c r="AB31" s="36">
        <f t="shared" si="20"/>
        <v>1618.23</v>
      </c>
      <c r="AC31" s="36">
        <f t="shared" si="20"/>
        <v>1708.24</v>
      </c>
      <c r="AD31" s="36">
        <f t="shared" si="20"/>
        <v>1632</v>
      </c>
      <c r="AE31" s="36">
        <f t="shared" si="20"/>
        <v>1789.73</v>
      </c>
      <c r="AF31" s="36">
        <f t="shared" si="20"/>
        <v>1971.34</v>
      </c>
      <c r="AG31" s="36">
        <f t="shared" si="20"/>
        <v>2166.02</v>
      </c>
      <c r="AO31" s="85" t="s">
        <v>652</v>
      </c>
      <c r="AP31" s="84"/>
      <c r="AQ31" s="86">
        <f>AQ32/AQ33*(1-AQ34)</f>
        <v>3.688633345437043E-2</v>
      </c>
      <c r="AR31" s="84"/>
      <c r="AS31" s="84"/>
      <c r="AT31" s="84"/>
      <c r="AU31" s="84"/>
      <c r="AV31" s="33"/>
      <c r="AW31" s="33"/>
    </row>
    <row r="32" spans="1:49" ht="15.6">
      <c r="U32" s="101" t="s">
        <v>653</v>
      </c>
      <c r="V32" s="95">
        <f>V34+V31</f>
        <v>3805.5265102255653</v>
      </c>
      <c r="W32" s="95">
        <f t="shared" ref="W32:Z32" si="21">W34+W31</f>
        <v>4403.0142356747019</v>
      </c>
      <c r="X32" s="95">
        <f t="shared" si="21"/>
        <v>5015.2889807555875</v>
      </c>
      <c r="Y32" s="95">
        <f t="shared" si="21"/>
        <v>5803.0626429766926</v>
      </c>
      <c r="Z32" s="95">
        <f t="shared" si="21"/>
        <v>6489.9192159835984</v>
      </c>
      <c r="AA32" s="36">
        <f t="shared" ref="AA32:AG32" si="22">AA34+AA31</f>
        <v>3242.6399999999994</v>
      </c>
      <c r="AB32" s="36">
        <f t="shared" si="22"/>
        <v>3329.3000000000011</v>
      </c>
      <c r="AC32" s="36">
        <f t="shared" si="22"/>
        <v>2898.91</v>
      </c>
      <c r="AD32" s="36">
        <f t="shared" si="22"/>
        <v>2026.83</v>
      </c>
      <c r="AE32" s="36">
        <f t="shared" si="22"/>
        <v>2486.1100000000006</v>
      </c>
      <c r="AF32" s="36">
        <f t="shared" si="22"/>
        <v>3057.5499999999993</v>
      </c>
      <c r="AG32" s="36">
        <f t="shared" si="22"/>
        <v>3253.8199999999997</v>
      </c>
      <c r="AO32" s="84" t="s">
        <v>654</v>
      </c>
      <c r="AP32" s="84"/>
      <c r="AQ32" s="84">
        <f>'Income Statement'!B47</f>
        <v>1352.22</v>
      </c>
      <c r="AR32" s="84"/>
      <c r="AS32" s="84"/>
      <c r="AT32" s="84"/>
      <c r="AU32" s="87"/>
      <c r="AV32" s="33"/>
      <c r="AW32" s="33"/>
    </row>
    <row r="33" spans="2:49" ht="15.6">
      <c r="U33" s="96" t="s">
        <v>655</v>
      </c>
      <c r="V33" s="97">
        <f>V32/V28</f>
        <v>0.19673911330959337</v>
      </c>
      <c r="W33" s="97">
        <f>W32/W28</f>
        <v>0.2172024726519422</v>
      </c>
      <c r="X33" s="97">
        <f t="shared" ref="X33:Z33" si="23">X32/X28</f>
        <v>0.23607465019718829</v>
      </c>
      <c r="Y33" s="97">
        <f t="shared" si="23"/>
        <v>0.26064498236259181</v>
      </c>
      <c r="Z33" s="97">
        <f t="shared" si="23"/>
        <v>0.27814427051057322</v>
      </c>
      <c r="AO33" s="84" t="s">
        <v>656</v>
      </c>
      <c r="AP33" s="84"/>
      <c r="AQ33" s="84">
        <f>AV28</f>
        <v>27470</v>
      </c>
      <c r="AR33" s="84"/>
      <c r="AS33" s="84"/>
      <c r="AT33" s="84"/>
      <c r="AU33" s="84"/>
      <c r="AV33" s="33"/>
      <c r="AW33" s="33"/>
    </row>
    <row r="34" spans="2:49" ht="17.399999999999999">
      <c r="U34" s="101" t="s">
        <v>657</v>
      </c>
      <c r="V34" s="62">
        <f t="shared" ref="V34:AG34" si="24">V28-V30-V31</f>
        <v>1518.0852922159997</v>
      </c>
      <c r="W34" s="62">
        <f t="shared" si="24"/>
        <v>1987.3452548485393</v>
      </c>
      <c r="X34" s="62">
        <f t="shared" si="24"/>
        <v>2464.2041358285214</v>
      </c>
      <c r="Y34" s="62">
        <f t="shared" si="24"/>
        <v>3251.9777980496265</v>
      </c>
      <c r="Z34" s="62">
        <f t="shared" si="24"/>
        <v>3795.8274601707658</v>
      </c>
      <c r="AA34" s="36">
        <f t="shared" si="24"/>
        <v>1770.3699999999994</v>
      </c>
      <c r="AB34" s="36">
        <f t="shared" si="24"/>
        <v>1711.0700000000011</v>
      </c>
      <c r="AC34" s="36">
        <f t="shared" si="24"/>
        <v>1190.6699999999998</v>
      </c>
      <c r="AD34" s="36">
        <f t="shared" si="24"/>
        <v>394.82999999999993</v>
      </c>
      <c r="AE34" s="36">
        <f t="shared" si="24"/>
        <v>696.38000000000056</v>
      </c>
      <c r="AF34" s="36">
        <f t="shared" si="24"/>
        <v>1086.2099999999994</v>
      </c>
      <c r="AG34" s="36">
        <f t="shared" si="24"/>
        <v>1087.7999999999997</v>
      </c>
      <c r="AO34" s="85" t="s">
        <v>658</v>
      </c>
      <c r="AP34" s="84"/>
      <c r="AQ34" s="86">
        <f>AQ35/AQ36</f>
        <v>0.25066366420289921</v>
      </c>
      <c r="AR34" s="84"/>
      <c r="AS34" s="84"/>
      <c r="AT34" s="84"/>
      <c r="AU34" s="84"/>
      <c r="AV34" s="33"/>
      <c r="AW34" s="33"/>
    </row>
    <row r="35" spans="2:49" ht="15.6">
      <c r="U35" s="96" t="s">
        <v>659</v>
      </c>
      <c r="V35" s="97">
        <f>V34/V28</f>
        <v>7.8482373862429844E-2</v>
      </c>
      <c r="W35" s="97">
        <f t="shared" ref="W35:X35" si="25">W34/W28</f>
        <v>9.8036545026082916E-2</v>
      </c>
      <c r="X35" s="97">
        <f t="shared" si="25"/>
        <v>0.11599254432045517</v>
      </c>
      <c r="Y35" s="97">
        <f>Y34/Y28</f>
        <v>0.14606282026647244</v>
      </c>
      <c r="Z35" s="97">
        <f>Z34/Z28</f>
        <v>0.1626811713299865</v>
      </c>
      <c r="AO35" s="84" t="s">
        <v>660</v>
      </c>
      <c r="AP35" s="84"/>
      <c r="AQ35" s="84">
        <f>'Income Statement'!B69</f>
        <v>516.5</v>
      </c>
      <c r="AR35" s="84"/>
      <c r="AS35" s="84"/>
      <c r="AT35" s="84"/>
      <c r="AU35" s="84"/>
      <c r="AV35" s="33"/>
      <c r="AW35" s="33"/>
    </row>
    <row r="36" spans="2:49">
      <c r="U36" s="93" t="s">
        <v>658</v>
      </c>
      <c r="V36" s="97">
        <f>AQ34</f>
        <v>0.25066366420289921</v>
      </c>
      <c r="W36" s="97">
        <f>V36</f>
        <v>0.25066366420289921</v>
      </c>
      <c r="X36" s="97">
        <f>W36</f>
        <v>0.25066366420289921</v>
      </c>
      <c r="Y36" s="97">
        <f>X36</f>
        <v>0.25066366420289921</v>
      </c>
      <c r="Z36" s="97">
        <f>Y36</f>
        <v>0.25066366420289921</v>
      </c>
      <c r="AO36" s="33" t="s">
        <v>139</v>
      </c>
      <c r="AP36" s="33"/>
      <c r="AQ36" s="33">
        <f>'Income Statement'!B67</f>
        <v>2060.5300000000002</v>
      </c>
      <c r="AR36" s="33"/>
      <c r="AS36" s="33"/>
      <c r="AT36" s="33"/>
      <c r="AU36" s="33"/>
      <c r="AV36" s="33"/>
      <c r="AW36" s="33"/>
    </row>
    <row r="37" spans="2:49" ht="17.399999999999999">
      <c r="B37" s="37">
        <v>2015</v>
      </c>
      <c r="C37" s="37">
        <v>2016</v>
      </c>
      <c r="D37" s="37">
        <v>2017</v>
      </c>
      <c r="E37" s="37">
        <v>2018</v>
      </c>
      <c r="F37" s="37">
        <v>2019</v>
      </c>
      <c r="G37" s="37">
        <v>2020</v>
      </c>
      <c r="H37" s="37">
        <v>2021</v>
      </c>
      <c r="I37" s="37">
        <v>2022</v>
      </c>
      <c r="J37" s="37">
        <v>2023</v>
      </c>
      <c r="K37" s="37">
        <v>2024</v>
      </c>
      <c r="L37" s="77" t="s">
        <v>621</v>
      </c>
      <c r="M37" s="77" t="s">
        <v>622</v>
      </c>
      <c r="N37" s="77" t="s">
        <v>623</v>
      </c>
      <c r="O37" s="77" t="s">
        <v>624</v>
      </c>
      <c r="P37" s="77" t="s">
        <v>625</v>
      </c>
      <c r="U37" s="93" t="s">
        <v>661</v>
      </c>
      <c r="V37" s="62">
        <f>V34*(1-V36)</f>
        <v>1137.5564702966083</v>
      </c>
      <c r="W37" s="62">
        <f t="shared" ref="W37:X37" si="26">W34*(1-W36)</f>
        <v>1489.1900112319599</v>
      </c>
      <c r="X37" s="62">
        <f t="shared" si="26"/>
        <v>1846.5176977978056</v>
      </c>
      <c r="Y37" s="62">
        <f>Y34*(1-Y36)</f>
        <v>2436.8251272840312</v>
      </c>
      <c r="Z37" s="62">
        <f>Z34*(1-Z36)</f>
        <v>2844.3514403223771</v>
      </c>
      <c r="AA37" s="62">
        <f t="shared" ref="AA37:AG37" si="27">AA34*(1-$Z$36)</f>
        <v>1326.6025688051129</v>
      </c>
      <c r="AB37" s="62">
        <f t="shared" si="27"/>
        <v>1282.1669240923461</v>
      </c>
      <c r="AC37" s="62">
        <f t="shared" si="27"/>
        <v>892.21229494353383</v>
      </c>
      <c r="AD37" s="62">
        <f t="shared" si="27"/>
        <v>295.86046546276924</v>
      </c>
      <c r="AE37" s="62">
        <f t="shared" si="27"/>
        <v>521.8228375223855</v>
      </c>
      <c r="AF37" s="62">
        <f t="shared" si="27"/>
        <v>813.93662130616838</v>
      </c>
      <c r="AG37" s="62">
        <f t="shared" si="27"/>
        <v>815.128066080086</v>
      </c>
      <c r="AO37" s="61" t="s">
        <v>662</v>
      </c>
      <c r="AP37" s="61"/>
      <c r="AQ37" s="86">
        <v>0</v>
      </c>
      <c r="AR37" s="33"/>
      <c r="AS37" s="33"/>
      <c r="AT37" s="33"/>
      <c r="AU37" s="33"/>
      <c r="AV37" s="33"/>
      <c r="AW37" s="33"/>
    </row>
    <row r="38" spans="2:49">
      <c r="B38" s="111">
        <v>19211.55</v>
      </c>
      <c r="C38" s="111">
        <v>14175.82</v>
      </c>
      <c r="D38" s="111">
        <v>14179.85</v>
      </c>
      <c r="E38" s="111">
        <v>14594.43</v>
      </c>
      <c r="F38" s="111">
        <v>14636.99</v>
      </c>
      <c r="G38" s="111">
        <v>14467.75</v>
      </c>
      <c r="H38" s="111">
        <v>13953.47</v>
      </c>
      <c r="I38" s="111">
        <v>16216.93</v>
      </c>
      <c r="J38" s="111">
        <v>17365.64</v>
      </c>
      <c r="K38" s="111">
        <v>18457.07</v>
      </c>
      <c r="L38" s="114">
        <v>19343</v>
      </c>
      <c r="M38" s="114">
        <v>20271</v>
      </c>
      <c r="N38" s="114">
        <v>21244</v>
      </c>
      <c r="O38" s="114">
        <v>22264</v>
      </c>
      <c r="P38" s="114">
        <v>23332</v>
      </c>
      <c r="U38" s="93" t="s">
        <v>663</v>
      </c>
      <c r="V38" s="102">
        <f>V31</f>
        <v>2287.4412180095655</v>
      </c>
      <c r="W38" s="102">
        <f t="shared" ref="W38:Z38" si="28">W31</f>
        <v>2415.6689808261626</v>
      </c>
      <c r="X38" s="102">
        <f t="shared" si="28"/>
        <v>2551.0848449270661</v>
      </c>
      <c r="Y38" s="102">
        <f t="shared" si="28"/>
        <v>2551.0848449270661</v>
      </c>
      <c r="Z38" s="102">
        <f t="shared" si="28"/>
        <v>2694.0917558128326</v>
      </c>
      <c r="AA38" s="36">
        <f t="shared" ref="AA38:AG38" si="29">AA31</f>
        <v>1472.27</v>
      </c>
      <c r="AB38" s="36">
        <f t="shared" si="29"/>
        <v>1618.23</v>
      </c>
      <c r="AC38" s="36">
        <f t="shared" si="29"/>
        <v>1708.24</v>
      </c>
      <c r="AD38" s="36">
        <f t="shared" si="29"/>
        <v>1632</v>
      </c>
      <c r="AE38" s="36">
        <f t="shared" si="29"/>
        <v>1789.73</v>
      </c>
      <c r="AF38" s="36">
        <f t="shared" si="29"/>
        <v>1971.34</v>
      </c>
      <c r="AG38" s="36">
        <f t="shared" si="29"/>
        <v>2166.02</v>
      </c>
      <c r="AO38" s="33" t="s">
        <v>664</v>
      </c>
      <c r="AP38" s="33"/>
      <c r="AQ38" s="33"/>
      <c r="AR38" s="33"/>
      <c r="AS38" s="33"/>
      <c r="AT38" s="33"/>
      <c r="AU38" s="33"/>
      <c r="AV38" s="33"/>
      <c r="AW38" s="33"/>
    </row>
    <row r="39" spans="2:49" ht="15.6">
      <c r="U39" s="93" t="s">
        <v>665</v>
      </c>
      <c r="V39" s="95">
        <f>C20</f>
        <v>193.43009359999999</v>
      </c>
      <c r="W39" s="95">
        <f>C21</f>
        <v>202.71473809279999</v>
      </c>
      <c r="X39" s="95">
        <f>C22</f>
        <v>212.4450455212544</v>
      </c>
      <c r="Y39" s="95">
        <f>C23</f>
        <v>222.64240770627461</v>
      </c>
      <c r="Z39" s="95">
        <f>C24</f>
        <v>233.32924327617582</v>
      </c>
      <c r="AA39" s="36">
        <f>D12</f>
        <v>-471.19</v>
      </c>
      <c r="AB39" s="36">
        <f>D13</f>
        <v>-295.41000000000003</v>
      </c>
      <c r="AC39" s="36">
        <f>D14</f>
        <v>-1719.37</v>
      </c>
      <c r="AD39" s="36">
        <f>D15</f>
        <v>-842.65</v>
      </c>
      <c r="AE39" s="36">
        <f>D16</f>
        <v>-30.16</v>
      </c>
      <c r="AF39" s="36">
        <f>D17</f>
        <v>440.5</v>
      </c>
      <c r="AG39" s="36">
        <f>D18</f>
        <v>649.1</v>
      </c>
      <c r="AO39" s="33"/>
      <c r="AP39" s="33"/>
      <c r="AQ39" s="33"/>
      <c r="AR39" s="33"/>
      <c r="AS39" s="33"/>
      <c r="AT39" s="33"/>
      <c r="AU39" s="33"/>
      <c r="AV39" s="33"/>
      <c r="AW39" s="33"/>
    </row>
    <row r="40" spans="2:49" ht="15.6">
      <c r="U40" s="93" t="s">
        <v>666</v>
      </c>
      <c r="V40" s="103">
        <f>BA4</f>
        <v>2760.6149999999998</v>
      </c>
      <c r="W40" s="103">
        <f t="shared" ref="W40:Z40" si="30">BB4</f>
        <v>2857.2365249999993</v>
      </c>
      <c r="X40" s="103">
        <f t="shared" si="30"/>
        <v>2957.2398033749992</v>
      </c>
      <c r="Y40" s="103">
        <f t="shared" si="30"/>
        <v>3060.7431964931238</v>
      </c>
      <c r="Z40" s="103">
        <f t="shared" si="30"/>
        <v>3167.8692083703831</v>
      </c>
      <c r="AA40" s="36">
        <f t="shared" ref="AA40:AG40" si="31">AS4</f>
        <v>3466.84</v>
      </c>
      <c r="AB40" s="36">
        <f t="shared" si="31"/>
        <v>3534.9</v>
      </c>
      <c r="AC40" s="36">
        <f t="shared" si="31"/>
        <v>3562.63</v>
      </c>
      <c r="AD40" s="36">
        <f t="shared" si="31"/>
        <v>3064.7</v>
      </c>
      <c r="AE40" s="36">
        <f t="shared" si="31"/>
        <v>3587.27</v>
      </c>
      <c r="AF40" s="36">
        <f t="shared" si="31"/>
        <v>4528.29</v>
      </c>
      <c r="AG40" s="36">
        <f t="shared" si="31"/>
        <v>5521.23</v>
      </c>
      <c r="AO40" s="33"/>
      <c r="AP40" s="33"/>
      <c r="AQ40" s="33"/>
      <c r="AR40" s="33"/>
      <c r="AS40" s="33"/>
      <c r="AT40" s="33"/>
      <c r="AU40" s="33"/>
      <c r="AV40" s="33"/>
      <c r="AW40" s="33"/>
    </row>
    <row r="41" spans="2:49" ht="17.399999999999999">
      <c r="U41" s="104" t="s">
        <v>667</v>
      </c>
      <c r="V41" s="95">
        <f>V37+V38-V39-V40</f>
        <v>470.95259470617384</v>
      </c>
      <c r="W41" s="95">
        <f t="shared" ref="W41:Y41" si="32">W37+W38-W39-W40</f>
        <v>844.90772896532326</v>
      </c>
      <c r="X41" s="95">
        <f t="shared" si="32"/>
        <v>1227.9176938286178</v>
      </c>
      <c r="Y41" s="95">
        <f t="shared" si="32"/>
        <v>1704.5243680116982</v>
      </c>
      <c r="Z41" s="95">
        <f t="shared" ref="Z41" si="33">Z37+Z38-Z39-Z40</f>
        <v>2137.2447444886507</v>
      </c>
      <c r="AA41" s="77">
        <v>2018</v>
      </c>
      <c r="AB41" s="77">
        <v>2019</v>
      </c>
      <c r="AC41" s="77">
        <v>2020</v>
      </c>
      <c r="AD41" s="77">
        <v>2021</v>
      </c>
      <c r="AE41" s="77">
        <v>2022</v>
      </c>
      <c r="AF41" s="77">
        <v>2023</v>
      </c>
      <c r="AG41" s="77">
        <v>2024</v>
      </c>
      <c r="AO41" s="88" t="s">
        <v>637</v>
      </c>
      <c r="AP41" s="89">
        <f>(AP28/AQ29 * AQ30) + (AS28/AQ29 * AQ37) + (AV28/AQ29 * AQ31)</f>
        <v>5.2787741913436867E-2</v>
      </c>
      <c r="AQ41" s="33"/>
      <c r="AR41" s="33"/>
      <c r="AS41" s="33"/>
      <c r="AT41" s="33"/>
      <c r="AU41" s="33"/>
      <c r="AV41" s="33"/>
      <c r="AW41" s="33"/>
    </row>
    <row r="42" spans="2:49" ht="15.6">
      <c r="U42"/>
      <c r="V42"/>
      <c r="W42" s="105"/>
      <c r="X42" s="105"/>
      <c r="Y42" s="105"/>
      <c r="Z42" s="105"/>
      <c r="AA42" s="95">
        <v>-1639.46</v>
      </c>
      <c r="AB42" s="95">
        <v>-262.63</v>
      </c>
      <c r="AC42" s="95">
        <v>-1654.61</v>
      </c>
      <c r="AD42" s="95">
        <v>458.76</v>
      </c>
      <c r="AE42" s="95">
        <v>-95.02</v>
      </c>
      <c r="AF42" s="95">
        <v>-2656.79</v>
      </c>
      <c r="AG42" s="95">
        <v>-1560.47</v>
      </c>
      <c r="AO42" s="90" t="s">
        <v>668</v>
      </c>
      <c r="AP42" s="122">
        <f>AQ34</f>
        <v>0.25066366420289921</v>
      </c>
      <c r="AQ42"/>
      <c r="AR42"/>
      <c r="AS42"/>
      <c r="AT42"/>
      <c r="AU42"/>
      <c r="AV42"/>
      <c r="AW42"/>
    </row>
    <row r="43" spans="2:49">
      <c r="U43"/>
      <c r="V43"/>
      <c r="W43"/>
      <c r="X43"/>
      <c r="Y43"/>
      <c r="Z43"/>
      <c r="AH43" s="202"/>
      <c r="AI43" s="202"/>
      <c r="AJ43" s="202"/>
      <c r="AK43" s="201"/>
      <c r="AL43" s="201"/>
      <c r="AO43" s="90" t="s">
        <v>669</v>
      </c>
      <c r="AP43" s="122">
        <f>AQ31</f>
        <v>3.688633345437043E-2</v>
      </c>
      <c r="AQ43"/>
      <c r="AR43"/>
      <c r="AS43"/>
      <c r="AT43"/>
      <c r="AU43"/>
      <c r="AV43"/>
      <c r="AW43"/>
    </row>
    <row r="44" spans="2:49" ht="18" customHeight="1">
      <c r="U44" s="106" t="s">
        <v>670</v>
      </c>
      <c r="V44" s="105">
        <f>AP49</f>
        <v>5.2787741913436867E-2</v>
      </c>
      <c r="W44"/>
      <c r="X44"/>
      <c r="Y44"/>
      <c r="Z44" s="200"/>
      <c r="AM44" s="201"/>
      <c r="AO44" s="90" t="s">
        <v>671</v>
      </c>
      <c r="AP44" s="122">
        <f>AQ30</f>
        <v>6.9247500000000003E-2</v>
      </c>
      <c r="AQ44"/>
      <c r="AR44"/>
      <c r="AS44"/>
      <c r="AT44"/>
      <c r="AU44"/>
      <c r="AV44"/>
      <c r="AW44"/>
    </row>
    <row r="45" spans="2:49" ht="15.6">
      <c r="U45" s="107" t="s">
        <v>672</v>
      </c>
      <c r="V45" s="108">
        <f>V41/(1+V44)+W41/(1+V44)^2+X41/(1+V44)^3+Y41/(1+V44)^4+Z41/(1+V44)^5</f>
        <v>5302.0143976896961</v>
      </c>
      <c r="W45" s="119"/>
      <c r="X45"/>
      <c r="Y45"/>
      <c r="Z45"/>
      <c r="AO45" s="90" t="s">
        <v>673</v>
      </c>
      <c r="AP45" s="123">
        <f>AQ33</f>
        <v>27470</v>
      </c>
      <c r="AQ45"/>
      <c r="AR45"/>
      <c r="AS45"/>
      <c r="AT45"/>
      <c r="AU45"/>
      <c r="AV45"/>
      <c r="AW45"/>
    </row>
    <row r="46" spans="2:49" ht="15.6">
      <c r="AO46" s="90" t="s">
        <v>674</v>
      </c>
      <c r="AP46" s="123">
        <f>AS28</f>
        <v>0</v>
      </c>
      <c r="AQ46"/>
      <c r="AR46"/>
      <c r="AS46"/>
      <c r="AT46"/>
      <c r="AU46"/>
      <c r="AV46"/>
      <c r="AW46"/>
    </row>
    <row r="47" spans="2:49" ht="17.399999999999999">
      <c r="U47" s="212" t="s">
        <v>675</v>
      </c>
      <c r="V47" s="212"/>
      <c r="AO47" s="90" t="s">
        <v>676</v>
      </c>
      <c r="AP47" s="124">
        <f>AP28</f>
        <v>26538.159799999998</v>
      </c>
      <c r="AQ47"/>
      <c r="AR47"/>
      <c r="AS47"/>
      <c r="AT47"/>
      <c r="AU47"/>
      <c r="AV47"/>
      <c r="AW47"/>
    </row>
    <row r="48" spans="2:49">
      <c r="U48" s="171" t="s">
        <v>677</v>
      </c>
      <c r="V48" s="172">
        <v>2.5000000000000001E-2</v>
      </c>
      <c r="AO48" s="90" t="s">
        <v>678</v>
      </c>
      <c r="AP48" s="124">
        <f>AQ29</f>
        <v>54008.159799999994</v>
      </c>
      <c r="AQ48"/>
      <c r="AR48"/>
      <c r="AS48"/>
      <c r="AT48"/>
      <c r="AU48"/>
      <c r="AV48"/>
      <c r="AW48"/>
    </row>
    <row r="49" spans="21:49" ht="15">
      <c r="U49" s="169" t="s">
        <v>679</v>
      </c>
      <c r="V49" s="168">
        <f>Z41*(1+V48)/(V44-V48)</f>
        <v>78836.051879464052</v>
      </c>
      <c r="AO49" s="90" t="s">
        <v>680</v>
      </c>
      <c r="AP49" s="122">
        <f>AP41</f>
        <v>5.2787741913436867E-2</v>
      </c>
      <c r="AQ49"/>
      <c r="AR49"/>
      <c r="AS49"/>
      <c r="AT49"/>
      <c r="AU49"/>
      <c r="AV49"/>
      <c r="AW49"/>
    </row>
    <row r="50" spans="21:49" ht="15">
      <c r="U50" s="171" t="s">
        <v>681</v>
      </c>
      <c r="V50" s="168">
        <f>V49/Z32</f>
        <v>12.147462742726271</v>
      </c>
      <c r="AQ50"/>
      <c r="AR50"/>
      <c r="AS50"/>
      <c r="AT50"/>
      <c r="AU50"/>
      <c r="AV50"/>
      <c r="AW50"/>
    </row>
    <row r="51" spans="21:49" ht="15">
      <c r="U51" s="171" t="s">
        <v>682</v>
      </c>
      <c r="V51" s="168">
        <f>V49/(1+V44)^5</f>
        <v>60956.604684170627</v>
      </c>
      <c r="AQ51"/>
      <c r="AR51"/>
      <c r="AS51"/>
      <c r="AT51"/>
      <c r="AU51"/>
      <c r="AV51"/>
      <c r="AW51"/>
    </row>
    <row r="52" spans="21:49" ht="15">
      <c r="U52" s="171" t="s">
        <v>672</v>
      </c>
      <c r="V52" s="168">
        <f>V45</f>
        <v>5302.0143976896961</v>
      </c>
      <c r="AQ52"/>
      <c r="AR52"/>
      <c r="AS52"/>
      <c r="AT52"/>
      <c r="AU52"/>
      <c r="AV52"/>
      <c r="AW52"/>
    </row>
    <row r="53" spans="21:49" ht="15">
      <c r="U53" s="169" t="s">
        <v>565</v>
      </c>
      <c r="V53" s="168">
        <f>V52+V51</f>
        <v>66258.619081860321</v>
      </c>
      <c r="AQ53"/>
      <c r="AR53"/>
      <c r="AS53"/>
      <c r="AT53"/>
      <c r="AU53"/>
      <c r="AV53"/>
      <c r="AW53"/>
    </row>
    <row r="54" spans="21:49" ht="15">
      <c r="U54" s="171" t="s">
        <v>683</v>
      </c>
      <c r="V54" s="168">
        <f>AV28</f>
        <v>27470</v>
      </c>
    </row>
    <row r="55" spans="21:49" ht="15">
      <c r="U55" s="171" t="s">
        <v>684</v>
      </c>
      <c r="V55" s="168">
        <f>'Balance Sheet'!B22</f>
        <v>159.62</v>
      </c>
    </row>
    <row r="56" spans="21:49" ht="15">
      <c r="U56" s="169" t="s">
        <v>685</v>
      </c>
      <c r="V56" s="168">
        <f>V54-V55</f>
        <v>27310.38</v>
      </c>
    </row>
    <row r="57" spans="21:49" ht="15">
      <c r="U57" s="171" t="s">
        <v>686</v>
      </c>
      <c r="V57" s="168">
        <v>0</v>
      </c>
    </row>
    <row r="58" spans="21:49" ht="15">
      <c r="U58" s="169" t="s">
        <v>687</v>
      </c>
      <c r="V58" s="168">
        <f>V53-V56-V57</f>
        <v>38948.239081860316</v>
      </c>
    </row>
    <row r="59" spans="21:49" ht="15">
      <c r="U59" s="171" t="s">
        <v>688</v>
      </c>
      <c r="V59" s="168">
        <f>AP27</f>
        <v>577.66999999999996</v>
      </c>
    </row>
    <row r="60" spans="21:49" ht="15">
      <c r="U60" s="169" t="s">
        <v>689</v>
      </c>
      <c r="V60" s="170">
        <f>V58/V59</f>
        <v>67.422990776499248</v>
      </c>
    </row>
  </sheetData>
  <mergeCells count="16">
    <mergeCell ref="B1:M1"/>
    <mergeCell ref="AO24:AW24"/>
    <mergeCell ref="V1:AG1"/>
    <mergeCell ref="AH1:AL1"/>
    <mergeCell ref="N1:R1"/>
    <mergeCell ref="U13:AG13"/>
    <mergeCell ref="AO1:BE1"/>
    <mergeCell ref="AP2:AZ2"/>
    <mergeCell ref="BA2:BE2"/>
    <mergeCell ref="A7:D7"/>
    <mergeCell ref="U47:V47"/>
    <mergeCell ref="AP25:AQ25"/>
    <mergeCell ref="AS25:AT25"/>
    <mergeCell ref="AV25:AW25"/>
    <mergeCell ref="U26:U27"/>
    <mergeCell ref="V26:Z26"/>
  </mergeCells>
  <phoneticPr fontId="8" type="noConversion"/>
  <pageMargins left="0.7" right="0.7" top="0.75" bottom="0.75" header="0.3" footer="0.3"/>
  <pageSetup paperSize="9" orientation="portrait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50C92-E474-6140-A312-480D18030109}">
  <dimension ref="A1:O18"/>
  <sheetViews>
    <sheetView topLeftCell="F1" zoomScale="134" workbookViewId="0">
      <selection activeCell="J2" sqref="J2"/>
    </sheetView>
  </sheetViews>
  <sheetFormatPr defaultColWidth="11.44140625" defaultRowHeight="14.4"/>
  <cols>
    <col min="3" max="3" width="17.109375" customWidth="1"/>
    <col min="5" max="5" width="31.77734375" customWidth="1"/>
    <col min="8" max="8" width="23.109375" customWidth="1"/>
    <col min="9" max="9" width="24" customWidth="1"/>
  </cols>
  <sheetData>
    <row r="1" spans="1:15" ht="26.4">
      <c r="A1" s="42" t="s">
        <v>619</v>
      </c>
      <c r="B1" s="42" t="s">
        <v>690</v>
      </c>
      <c r="C1" s="43" t="s">
        <v>691</v>
      </c>
      <c r="E1" s="204" t="s">
        <v>691</v>
      </c>
      <c r="F1" s="204"/>
      <c r="H1" s="42" t="s">
        <v>692</v>
      </c>
      <c r="I1" s="58">
        <f>B15</f>
        <v>1.78</v>
      </c>
      <c r="J1" s="150">
        <f>B14*(1+$C$17)</f>
        <v>1.7608249999999999</v>
      </c>
      <c r="K1">
        <f>1/(1+$F$18)^1</f>
        <v>0.93523716445444116</v>
      </c>
      <c r="L1" s="150">
        <f>J1*K1</f>
        <v>1.6467889801004911</v>
      </c>
      <c r="M1">
        <v>2025</v>
      </c>
      <c r="N1" s="53"/>
      <c r="O1" s="53"/>
    </row>
    <row r="2" spans="1:15" ht="19.05" customHeight="1">
      <c r="A2" s="44" t="s">
        <v>693</v>
      </c>
      <c r="B2" s="45">
        <f>J1</f>
        <v>1.7608249999999999</v>
      </c>
      <c r="C2" s="46">
        <f>POWER((B15/B5),1/10)-1</f>
        <v>2.1423277808030106E-2</v>
      </c>
      <c r="E2" s="43" t="s">
        <v>694</v>
      </c>
      <c r="F2" s="54">
        <f>D9</f>
        <v>2.6666526277122404E-2</v>
      </c>
      <c r="H2" s="42" t="s">
        <v>695</v>
      </c>
      <c r="I2" s="58">
        <f>I1*(1+F2)</f>
        <v>1.8274664167732779</v>
      </c>
      <c r="J2" s="150">
        <f>J1*(1+$C$17)</f>
        <v>1.8400621249999998</v>
      </c>
      <c r="K2">
        <f>1/(1+$F$18)^2</f>
        <v>0.87466855377678354</v>
      </c>
      <c r="L2" s="150">
        <f t="shared" ref="L2:L7" si="0">J2*K2</f>
        <v>1.6094444777331849</v>
      </c>
      <c r="M2">
        <v>2026</v>
      </c>
      <c r="N2" s="53"/>
      <c r="O2" s="53"/>
    </row>
    <row r="3" spans="1:15" ht="22.05" customHeight="1">
      <c r="A3" s="47" t="s">
        <v>696</v>
      </c>
      <c r="B3" s="48" t="s">
        <v>697</v>
      </c>
      <c r="C3" s="49"/>
      <c r="E3" s="43" t="s">
        <v>698</v>
      </c>
      <c r="F3" s="55">
        <v>2.5000000000000001E-2</v>
      </c>
      <c r="H3" s="42" t="s">
        <v>699</v>
      </c>
      <c r="I3" s="58">
        <f>I2*(1+F2)</f>
        <v>1.8761985979967213</v>
      </c>
      <c r="J3" s="150">
        <f t="shared" ref="J3:J5" si="1">J2*(1+$C$17)</f>
        <v>1.9228649206249997</v>
      </c>
      <c r="K3">
        <f>1/(1+$F$18)^3</f>
        <v>0.81802253807166592</v>
      </c>
      <c r="L3" s="150">
        <f t="shared" si="0"/>
        <v>1.5729468427386346</v>
      </c>
      <c r="M3">
        <v>2027</v>
      </c>
      <c r="N3" s="53"/>
      <c r="O3" s="53"/>
    </row>
    <row r="4" spans="1:15">
      <c r="A4" s="50">
        <v>2014</v>
      </c>
      <c r="B4" s="51">
        <v>1.44</v>
      </c>
      <c r="C4" s="52"/>
      <c r="H4" s="42" t="s">
        <v>700</v>
      </c>
      <c r="I4" s="58">
        <f>I3*(1+F2)</f>
        <v>1.926230297211301</v>
      </c>
      <c r="J4" s="150">
        <f t="shared" si="1"/>
        <v>2.0093938420531243</v>
      </c>
      <c r="K4">
        <f>1/(1+$F$18)^4</f>
        <v>0.76504507896596996</v>
      </c>
      <c r="L4" s="150">
        <f t="shared" si="0"/>
        <v>1.5372768705672664</v>
      </c>
      <c r="M4">
        <v>2028</v>
      </c>
      <c r="N4" s="53"/>
      <c r="O4" s="53"/>
    </row>
    <row r="5" spans="1:15">
      <c r="A5" s="50">
        <v>2015</v>
      </c>
      <c r="B5" s="51">
        <v>1.44</v>
      </c>
      <c r="C5" s="53">
        <f>(B5-B4)/B4</f>
        <v>0</v>
      </c>
      <c r="H5" s="42" t="s">
        <v>701</v>
      </c>
      <c r="I5" s="58">
        <f>I4*(1+F2)</f>
        <v>1.9775961680476755</v>
      </c>
      <c r="J5" s="150">
        <f t="shared" si="1"/>
        <v>2.0998165649455149</v>
      </c>
      <c r="K5">
        <f>1/(1+$F$18)^5</f>
        <v>0.71549859033195784</v>
      </c>
      <c r="L5" s="150">
        <f t="shared" si="0"/>
        <v>1.5024157921742098</v>
      </c>
      <c r="M5">
        <v>2029</v>
      </c>
      <c r="N5" s="53"/>
      <c r="O5" s="53"/>
    </row>
    <row r="6" spans="1:15">
      <c r="A6" s="50">
        <v>2016</v>
      </c>
      <c r="B6" s="51">
        <v>1.44</v>
      </c>
      <c r="C6" s="53">
        <f t="shared" ref="C6:C15" si="2">(B6-B5)/B5</f>
        <v>0</v>
      </c>
      <c r="E6" s="205" t="s">
        <v>702</v>
      </c>
      <c r="F6" s="206"/>
      <c r="H6" s="203" t="s">
        <v>703</v>
      </c>
      <c r="I6" s="203"/>
    </row>
    <row r="7" spans="1:15">
      <c r="A7" s="50">
        <v>2017</v>
      </c>
      <c r="B7" s="51">
        <v>1.44</v>
      </c>
      <c r="C7" s="53">
        <f t="shared" si="2"/>
        <v>0</v>
      </c>
      <c r="E7" s="40" t="s">
        <v>704</v>
      </c>
      <c r="F7" s="38">
        <v>3.3599999999999998E-2</v>
      </c>
      <c r="H7" s="42" t="s">
        <v>705</v>
      </c>
      <c r="I7" s="59">
        <f>I5/(F18-F3)</f>
        <v>44.693963908642871</v>
      </c>
      <c r="J7" s="59">
        <f>J5*(1+F3)/(F18-F3)</f>
        <v>48.642566903647719</v>
      </c>
      <c r="K7">
        <f>1/(1+$F$18)^5</f>
        <v>0.71549859033195784</v>
      </c>
      <c r="L7" s="150">
        <f t="shared" si="0"/>
        <v>34.803688049687892</v>
      </c>
    </row>
    <row r="8" spans="1:15">
      <c r="A8" s="50">
        <v>2018</v>
      </c>
      <c r="B8" s="51">
        <v>1.44</v>
      </c>
      <c r="C8" s="53">
        <f t="shared" si="2"/>
        <v>0</v>
      </c>
      <c r="E8" s="39"/>
      <c r="F8" s="39"/>
      <c r="H8" s="42" t="s">
        <v>706</v>
      </c>
      <c r="I8" s="60">
        <f>NPV(F18,I1,I2,I3,I4+I7)</f>
        <v>40.464472457249968</v>
      </c>
      <c r="J8" s="60">
        <f>NPV(F18,J1,J2,J3,J4+J7)</f>
        <v>43.580213609048222</v>
      </c>
      <c r="L8" s="151">
        <f>SUM(L1:L7)</f>
        <v>42.672561013001676</v>
      </c>
    </row>
    <row r="9" spans="1:15">
      <c r="A9" s="50">
        <v>2019</v>
      </c>
      <c r="B9" s="51">
        <v>1.52</v>
      </c>
      <c r="C9" s="53">
        <f t="shared" si="2"/>
        <v>5.5555555555555608E-2</v>
      </c>
      <c r="D9" s="41">
        <f>POWER((B15/B9),1/6)-1</f>
        <v>2.6666526277122404E-2</v>
      </c>
      <c r="E9" s="205" t="s">
        <v>707</v>
      </c>
      <c r="F9" s="206"/>
    </row>
    <row r="10" spans="1:15" ht="27" customHeight="1">
      <c r="A10" s="50">
        <v>2020</v>
      </c>
      <c r="B10" s="51">
        <v>1.56</v>
      </c>
      <c r="C10" s="53">
        <f t="shared" si="2"/>
        <v>2.6315789473684233E-2</v>
      </c>
      <c r="E10" s="40" t="s">
        <v>708</v>
      </c>
      <c r="F10" s="34">
        <v>0.10920000000000001</v>
      </c>
    </row>
    <row r="11" spans="1:15" ht="43.05" customHeight="1">
      <c r="A11" s="50">
        <v>2021</v>
      </c>
      <c r="B11" s="51">
        <v>1.56</v>
      </c>
      <c r="C11" s="53">
        <f t="shared" si="2"/>
        <v>0</v>
      </c>
      <c r="E11" s="40" t="s">
        <v>709</v>
      </c>
      <c r="F11" s="34">
        <v>0.10349999999999999</v>
      </c>
    </row>
    <row r="12" spans="1:15">
      <c r="A12" s="50">
        <v>2022</v>
      </c>
      <c r="B12" s="51">
        <v>1.56</v>
      </c>
      <c r="C12" s="53">
        <f t="shared" si="2"/>
        <v>0</v>
      </c>
      <c r="E12" s="40" t="s">
        <v>710</v>
      </c>
      <c r="F12" s="34">
        <f>AVERAGE(F10:F11)</f>
        <v>0.10635</v>
      </c>
    </row>
    <row r="13" spans="1:15">
      <c r="A13" s="50">
        <v>2023</v>
      </c>
      <c r="B13" s="51">
        <v>1.58</v>
      </c>
      <c r="C13" s="53">
        <f t="shared" si="2"/>
        <v>1.2820512820512832E-2</v>
      </c>
    </row>
    <row r="14" spans="1:15">
      <c r="A14" s="50">
        <v>2024</v>
      </c>
      <c r="B14" s="51">
        <v>1.6850000000000001</v>
      </c>
      <c r="C14" s="53">
        <f t="shared" si="2"/>
        <v>6.6455696202531625E-2</v>
      </c>
      <c r="E14" s="203" t="s">
        <v>711</v>
      </c>
      <c r="F14" s="203"/>
    </row>
    <row r="15" spans="1:15">
      <c r="A15" s="50">
        <v>2025</v>
      </c>
      <c r="B15" s="51">
        <v>1.78</v>
      </c>
      <c r="C15" s="53">
        <f t="shared" si="2"/>
        <v>5.6379821958456956E-2</v>
      </c>
      <c r="E15" s="207">
        <v>0.49</v>
      </c>
      <c r="F15" s="207"/>
    </row>
    <row r="16" spans="1:15">
      <c r="A16" s="50"/>
      <c r="B16" s="50"/>
      <c r="C16" s="54">
        <f>(D9+C2)/2</f>
        <v>2.4044902042576255E-2</v>
      </c>
      <c r="D16" s="53"/>
      <c r="E16" s="39"/>
      <c r="F16" s="39"/>
    </row>
    <row r="17" spans="3:6">
      <c r="C17" s="130">
        <v>4.4999999999999998E-2</v>
      </c>
      <c r="E17" s="203" t="s">
        <v>712</v>
      </c>
      <c r="F17" s="203"/>
    </row>
    <row r="18" spans="3:6">
      <c r="E18" s="56" t="s">
        <v>713</v>
      </c>
      <c r="F18" s="57">
        <f>F7+E15*(F12-F7)</f>
        <v>6.9247500000000003E-2</v>
      </c>
    </row>
  </sheetData>
  <mergeCells count="7">
    <mergeCell ref="E17:F17"/>
    <mergeCell ref="H6:I6"/>
    <mergeCell ref="E1:F1"/>
    <mergeCell ref="E6:F6"/>
    <mergeCell ref="E9:F9"/>
    <mergeCell ref="E14:F14"/>
    <mergeCell ref="E15:F15"/>
  </mergeCells>
  <phoneticPr fontId="8" type="noConversion"/>
  <pageMargins left="0.7" right="0.7" top="0.75" bottom="0.75" header="0.3" footer="0.3"/>
  <pageSetup paperSize="9" orientation="portrait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DEB00-1A19-F14B-A468-2086B58CF64A}">
  <dimension ref="A1:L20"/>
  <sheetViews>
    <sheetView workbookViewId="0">
      <selection activeCell="C15" sqref="C15"/>
    </sheetView>
  </sheetViews>
  <sheetFormatPr defaultColWidth="10.77734375" defaultRowHeight="14.4"/>
  <cols>
    <col min="1" max="1" width="32.44140625" style="36" bestFit="1" customWidth="1"/>
    <col min="2" max="2" width="10.77734375" style="36"/>
    <col min="3" max="3" width="11.44140625" style="36" bestFit="1" customWidth="1"/>
    <col min="4" max="16384" width="10.77734375" style="36"/>
  </cols>
  <sheetData>
    <row r="1" spans="1:12" ht="39.6">
      <c r="A1" s="42" t="s">
        <v>714</v>
      </c>
      <c r="B1" s="42"/>
      <c r="C1" s="42" t="s">
        <v>715</v>
      </c>
      <c r="D1" s="42" t="s">
        <v>716</v>
      </c>
      <c r="E1" s="42" t="s">
        <v>717</v>
      </c>
      <c r="F1" s="116"/>
      <c r="G1" s="116"/>
      <c r="H1" s="116"/>
    </row>
    <row r="2" spans="1:12">
      <c r="A2" s="117" t="s">
        <v>718</v>
      </c>
      <c r="B2" s="117"/>
      <c r="C2" s="117">
        <v>10.94</v>
      </c>
      <c r="D2" s="117">
        <v>16.96</v>
      </c>
      <c r="E2" s="117">
        <v>7.87</v>
      </c>
      <c r="H2" s="118"/>
    </row>
    <row r="3" spans="1:12">
      <c r="A3" s="36" t="s">
        <v>719</v>
      </c>
      <c r="C3" s="36">
        <v>11.6</v>
      </c>
      <c r="D3" s="36">
        <v>19.260000000000002</v>
      </c>
      <c r="E3" s="36">
        <v>9.5500000000000007</v>
      </c>
      <c r="H3" s="118"/>
    </row>
    <row r="4" spans="1:12">
      <c r="A4" s="36" t="s">
        <v>720</v>
      </c>
      <c r="C4" s="36">
        <v>14.87</v>
      </c>
      <c r="D4" s="36">
        <v>21.13</v>
      </c>
      <c r="E4" s="36">
        <v>11.41</v>
      </c>
      <c r="H4" s="118"/>
    </row>
    <row r="5" spans="1:12">
      <c r="A5" s="36" t="s">
        <v>721</v>
      </c>
      <c r="C5" s="36">
        <v>12.18</v>
      </c>
      <c r="D5" s="36">
        <v>19.84</v>
      </c>
      <c r="E5" s="36">
        <v>9.48</v>
      </c>
      <c r="H5" s="118"/>
    </row>
    <row r="6" spans="1:12">
      <c r="A6" s="36" t="s">
        <v>722</v>
      </c>
      <c r="C6" s="36">
        <v>11.34</v>
      </c>
      <c r="D6" s="36">
        <v>18.3</v>
      </c>
      <c r="E6" s="36">
        <v>8.1999999999999993</v>
      </c>
      <c r="H6" s="118"/>
    </row>
    <row r="7" spans="1:12">
      <c r="A7" s="36" t="s">
        <v>723</v>
      </c>
      <c r="C7" s="36">
        <v>13.08</v>
      </c>
      <c r="D7" s="36">
        <v>18.809999999999999</v>
      </c>
      <c r="E7" s="36">
        <v>10.8</v>
      </c>
      <c r="H7" s="118"/>
    </row>
    <row r="8" spans="1:12">
      <c r="A8" s="36" t="s">
        <v>724</v>
      </c>
      <c r="C8" s="36">
        <v>12.56</v>
      </c>
      <c r="D8" s="36">
        <v>16.87</v>
      </c>
      <c r="E8" s="36">
        <v>9.27</v>
      </c>
      <c r="H8" s="118"/>
    </row>
    <row r="9" spans="1:12">
      <c r="H9" s="118"/>
    </row>
    <row r="10" spans="1:12">
      <c r="A10" s="36" t="s">
        <v>725</v>
      </c>
      <c r="C10" s="36">
        <f>AVERAGE(C3:C8)</f>
        <v>12.604999999999999</v>
      </c>
      <c r="D10" s="36">
        <f>AVERAGE(D3:D8)</f>
        <v>19.035</v>
      </c>
      <c r="E10" s="36">
        <f>AVERAGE(E3:E8)</f>
        <v>9.7849999999999984</v>
      </c>
    </row>
    <row r="11" spans="1:12">
      <c r="C11" s="36">
        <f>C10*B16</f>
        <v>68438.091199999981</v>
      </c>
      <c r="D11" s="36">
        <f>D10*B17</f>
        <v>44.161199999999994</v>
      </c>
      <c r="E11" s="36">
        <f>E10*B20</f>
        <v>67.214770378078384</v>
      </c>
    </row>
    <row r="12" spans="1:12">
      <c r="C12" s="36">
        <f>C11-34385-1819+159.6</f>
        <v>32393.691199999979</v>
      </c>
    </row>
    <row r="13" spans="1:12">
      <c r="C13" s="36">
        <f>C12/576.6</f>
        <v>56.180525841137666</v>
      </c>
    </row>
    <row r="14" spans="1:12">
      <c r="C14" s="152">
        <f>C13*0.5+D11*0.3+E11*0.2</f>
        <v>54.781576996184512</v>
      </c>
    </row>
    <row r="15" spans="1:12">
      <c r="B15" s="42" t="s">
        <v>37</v>
      </c>
      <c r="C15" s="42" t="s">
        <v>38</v>
      </c>
      <c r="D15" s="42" t="s">
        <v>39</v>
      </c>
      <c r="E15" s="42" t="s">
        <v>40</v>
      </c>
      <c r="F15" s="42" t="s">
        <v>41</v>
      </c>
      <c r="G15" s="42" t="s">
        <v>42</v>
      </c>
      <c r="H15" s="42" t="s">
        <v>43</v>
      </c>
      <c r="I15" s="42" t="s">
        <v>44</v>
      </c>
      <c r="J15" s="42" t="s">
        <v>45</v>
      </c>
      <c r="K15" s="42" t="s">
        <v>46</v>
      </c>
      <c r="L15" s="115"/>
    </row>
    <row r="16" spans="1:12" ht="27.6">
      <c r="A16" s="115" t="s">
        <v>213</v>
      </c>
      <c r="B16" s="115">
        <v>5429.44</v>
      </c>
      <c r="C16" s="115">
        <v>5028.88</v>
      </c>
      <c r="D16" s="115">
        <v>4275.83</v>
      </c>
      <c r="E16" s="115">
        <v>4033.62</v>
      </c>
      <c r="F16" s="115">
        <v>4607.1499999999996</v>
      </c>
      <c r="G16" s="115">
        <v>4947.53</v>
      </c>
      <c r="H16" s="115">
        <v>4725.2700000000004</v>
      </c>
      <c r="I16" s="115">
        <v>4536.3100000000004</v>
      </c>
      <c r="J16" s="115">
        <v>4014.28</v>
      </c>
      <c r="K16" s="115">
        <v>5726.64</v>
      </c>
      <c r="L16" s="115"/>
    </row>
    <row r="17" spans="1:11" customFormat="1" ht="41.4">
      <c r="A17" s="17" t="s">
        <v>197</v>
      </c>
      <c r="B17" s="26">
        <v>2.3199999999999998</v>
      </c>
      <c r="C17" s="26">
        <v>2.59</v>
      </c>
      <c r="D17" s="26">
        <v>0.92</v>
      </c>
      <c r="E17" s="26">
        <v>2.95</v>
      </c>
      <c r="F17" s="26">
        <v>2.66</v>
      </c>
      <c r="G17" s="26">
        <v>2.2200000000000002</v>
      </c>
      <c r="H17" s="26">
        <v>2.57</v>
      </c>
      <c r="I17" s="15">
        <v>-5.04</v>
      </c>
      <c r="J17" s="15">
        <v>-19.21</v>
      </c>
      <c r="K17" s="26">
        <v>1.74</v>
      </c>
    </row>
    <row r="18" spans="1:11" customFormat="1" ht="15" customHeight="1">
      <c r="A18" s="18" t="s">
        <v>286</v>
      </c>
      <c r="B18" s="29">
        <v>3960.76</v>
      </c>
      <c r="C18" s="29">
        <v>1871.49</v>
      </c>
      <c r="D18" s="29">
        <v>3492.26</v>
      </c>
      <c r="E18" s="29">
        <v>3523.47</v>
      </c>
      <c r="F18" s="29">
        <v>1908.03</v>
      </c>
      <c r="G18" s="29">
        <v>3272.27</v>
      </c>
      <c r="H18" s="29">
        <v>1827.38</v>
      </c>
      <c r="I18" s="29">
        <v>4941.1499999999996</v>
      </c>
      <c r="J18" s="29">
        <v>4481.95</v>
      </c>
      <c r="K18" s="29">
        <v>4423.8</v>
      </c>
    </row>
    <row r="19" spans="1:11">
      <c r="B19" s="36">
        <v>576.6</v>
      </c>
    </row>
    <row r="20" spans="1:11">
      <c r="B20" s="36">
        <f>B18/B19</f>
        <v>6.8691640652098513</v>
      </c>
    </row>
  </sheetData>
  <phoneticPr fontId="8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D7671-5CD1-4235-A99E-4D514785B681}">
  <dimension ref="A1:BR88"/>
  <sheetViews>
    <sheetView topLeftCell="I37" zoomScale="44" workbookViewId="0">
      <selection activeCell="BB22" sqref="BB22"/>
    </sheetView>
  </sheetViews>
  <sheetFormatPr defaultColWidth="8.77734375" defaultRowHeight="14.4"/>
  <cols>
    <col min="1" max="1" width="22" bestFit="1" customWidth="1"/>
    <col min="2" max="9" width="10.44140625" bestFit="1" customWidth="1"/>
  </cols>
  <sheetData>
    <row r="1" spans="1:70" ht="16.2" thickBot="1">
      <c r="B1" s="126" t="s">
        <v>17</v>
      </c>
      <c r="C1" s="126" t="s">
        <v>18</v>
      </c>
      <c r="D1" s="126" t="s">
        <v>19</v>
      </c>
      <c r="E1" s="126" t="s">
        <v>20</v>
      </c>
      <c r="F1" s="126" t="s">
        <v>21</v>
      </c>
      <c r="G1" s="126" t="s">
        <v>22</v>
      </c>
      <c r="H1" s="126" t="s">
        <v>23</v>
      </c>
      <c r="I1" s="126" t="s">
        <v>24</v>
      </c>
      <c r="M1" s="129"/>
      <c r="N1" s="129"/>
      <c r="O1" s="129"/>
      <c r="P1" s="129"/>
      <c r="BA1" s="173"/>
      <c r="BB1" s="174"/>
      <c r="BC1" s="174"/>
      <c r="BD1" s="175"/>
    </row>
    <row r="2" spans="1:70" ht="16.2" thickBot="1">
      <c r="A2" t="s">
        <v>726</v>
      </c>
      <c r="B2" s="127">
        <f>'Balance Sheet'!B23/'Balance Sheet'!B90</f>
        <v>2.2213593962444805E-2</v>
      </c>
      <c r="C2" s="127">
        <f>'Balance Sheet'!C23/'Balance Sheet'!C90</f>
        <v>2.5436796303772484E-2</v>
      </c>
      <c r="D2" s="127">
        <f>'Balance Sheet'!D23/'Balance Sheet'!D90</f>
        <v>4.0423742562035105E-2</v>
      </c>
      <c r="E2" s="127">
        <f>'Balance Sheet'!E23/'Balance Sheet'!E90</f>
        <v>0.33106895828590988</v>
      </c>
      <c r="F2" s="127">
        <f>'Balance Sheet'!F23/'Balance Sheet'!F90</f>
        <v>0.34652257660409824</v>
      </c>
      <c r="G2" s="127">
        <f>'Balance Sheet'!G23/'Balance Sheet'!G90</f>
        <v>0.12895899293451318</v>
      </c>
      <c r="H2" s="127">
        <f>'Balance Sheet'!H23/'Balance Sheet'!H90</f>
        <v>7.9197517481908855E-2</v>
      </c>
      <c r="I2" s="127">
        <f>'Balance Sheet'!I23/'Balance Sheet'!I90</f>
        <v>0.14296180880431167</v>
      </c>
      <c r="BA2" s="176"/>
      <c r="BB2" s="177"/>
      <c r="BC2" s="178"/>
      <c r="BD2" s="179"/>
    </row>
    <row r="3" spans="1:70" ht="16.2" thickBot="1">
      <c r="A3" t="s">
        <v>727</v>
      </c>
      <c r="B3" s="127">
        <f>'Balance Sheet'!B109/'Balance Sheet'!B128</f>
        <v>2.7932943592696367</v>
      </c>
      <c r="C3" s="127">
        <f>'Balance Sheet'!C109/'Balance Sheet'!C128</f>
        <v>3.4674794442477093</v>
      </c>
      <c r="D3" s="127">
        <f>'Balance Sheet'!D109/'Balance Sheet'!D128</f>
        <v>3.3322374169567688</v>
      </c>
      <c r="E3" s="127">
        <f>'Balance Sheet'!E109/'Balance Sheet'!E128</f>
        <v>4.2371158759124086</v>
      </c>
      <c r="F3" s="127">
        <f>'Balance Sheet'!F109/'Balance Sheet'!F128</f>
        <v>5.1439827629250923</v>
      </c>
      <c r="G3" s="127">
        <f>'Balance Sheet'!G109/'Balance Sheet'!G128</f>
        <v>5.0646563049944024</v>
      </c>
      <c r="H3" s="127">
        <f>'Balance Sheet'!H109/'Balance Sheet'!H128</f>
        <v>4.8795135731389063</v>
      </c>
      <c r="I3" s="127">
        <f>'Balance Sheet'!I109/'Balance Sheet'!I128</f>
        <v>9.7661203248475132</v>
      </c>
      <c r="M3" s="131" t="s">
        <v>728</v>
      </c>
      <c r="N3" s="132"/>
      <c r="BA3" s="176"/>
      <c r="BB3" s="177"/>
      <c r="BC3" s="180"/>
      <c r="BD3" s="179"/>
    </row>
    <row r="4" spans="1:70" ht="16.2" thickBot="1">
      <c r="A4" t="s">
        <v>729</v>
      </c>
      <c r="B4" s="127">
        <f>'Balance Sheet'!B109/'Balance Sheet'!B72</f>
        <v>0.73637690479877749</v>
      </c>
      <c r="C4" s="127">
        <f>'Balance Sheet'!C109/'Balance Sheet'!C72</f>
        <v>0.77616013403540296</v>
      </c>
      <c r="D4" s="127">
        <f>'Balance Sheet'!D109/'Balance Sheet'!D72</f>
        <v>0.76917239205637489</v>
      </c>
      <c r="E4" s="127">
        <f>'Balance Sheet'!E109/'Balance Sheet'!E72</f>
        <v>0.80905520830665589</v>
      </c>
      <c r="F4" s="127">
        <f>'Balance Sheet'!F109/'Balance Sheet'!F72</f>
        <v>0.83723912670550704</v>
      </c>
      <c r="G4" s="127">
        <f>'Balance Sheet'!G109/'Balance Sheet'!G72</f>
        <v>0.83511019426171362</v>
      </c>
      <c r="H4" s="127">
        <f>'Balance Sheet'!H109/'Balance Sheet'!H72</f>
        <v>0.82991790263592702</v>
      </c>
      <c r="I4" s="127">
        <f>'Balance Sheet'!I109/'Balance Sheet'!I72</f>
        <v>0.90711602974638295</v>
      </c>
      <c r="M4" s="133" t="s">
        <v>730</v>
      </c>
      <c r="N4" s="133" t="s">
        <v>731</v>
      </c>
      <c r="Q4">
        <v>20.09</v>
      </c>
      <c r="R4" s="130">
        <v>0.12479999999999999</v>
      </c>
      <c r="S4" s="130">
        <v>2.98E-2</v>
      </c>
      <c r="T4" s="130">
        <v>9.64E-2</v>
      </c>
      <c r="U4">
        <v>7.11</v>
      </c>
      <c r="V4" s="130">
        <v>8.4900000000000003E-2</v>
      </c>
      <c r="W4" s="130">
        <v>0.67490000000000006</v>
      </c>
      <c r="X4" s="130">
        <v>4.8599999999999997E-2</v>
      </c>
      <c r="Y4">
        <v>5.74</v>
      </c>
      <c r="BA4" s="176"/>
      <c r="BB4" s="177"/>
      <c r="BC4" s="178"/>
      <c r="BD4" s="179"/>
    </row>
    <row r="5" spans="1:70" ht="16.2" thickBot="1">
      <c r="M5" s="134">
        <v>46022</v>
      </c>
      <c r="N5" s="135">
        <v>47.72</v>
      </c>
      <c r="BA5" s="176"/>
      <c r="BB5" s="177"/>
      <c r="BC5" s="180"/>
      <c r="BD5" s="179"/>
    </row>
    <row r="6" spans="1:70" ht="16.2" thickBot="1">
      <c r="A6" t="s">
        <v>732</v>
      </c>
      <c r="B6" s="127">
        <f>N6/B7</f>
        <v>17.071177484718895</v>
      </c>
      <c r="C6" s="127">
        <f>N7/C7</f>
        <v>14.127120125896132</v>
      </c>
      <c r="D6" s="127">
        <f>N7/D7</f>
        <v>39.611058547477569</v>
      </c>
      <c r="E6" s="127">
        <f>N8/E7</f>
        <v>14.213147781964704</v>
      </c>
      <c r="F6" s="127">
        <f>N10/F7</f>
        <v>11.467272149186471</v>
      </c>
      <c r="G6" s="127">
        <f>N11/G7</f>
        <v>21.588701240472275</v>
      </c>
      <c r="H6" s="127">
        <f>N12/H7</f>
        <v>14.531025098514222</v>
      </c>
      <c r="I6" s="127">
        <f>N13/I7</f>
        <v>-6.0774337173280397</v>
      </c>
      <c r="M6" s="134">
        <v>45657</v>
      </c>
      <c r="N6" s="135">
        <v>39.78</v>
      </c>
      <c r="BA6" s="176"/>
      <c r="BB6" s="177"/>
      <c r="BC6" s="178"/>
      <c r="BD6" s="179"/>
      <c r="BJ6" s="185"/>
      <c r="BK6" s="186"/>
      <c r="BL6" s="186"/>
      <c r="BM6" s="186"/>
      <c r="BN6" s="186"/>
      <c r="BO6" s="186"/>
      <c r="BP6" s="186"/>
      <c r="BQ6" s="186"/>
      <c r="BR6" s="187"/>
    </row>
    <row r="7" spans="1:70" ht="16.2" thickBot="1">
      <c r="A7" t="s">
        <v>733</v>
      </c>
      <c r="B7" s="127">
        <f>'Income Statement'!B94/'Income Statement'!B114</f>
        <v>2.3302434782608699</v>
      </c>
      <c r="C7" s="127">
        <f>'Income Statement'!C94/'Income Statement'!C114</f>
        <v>2.5950087260034906</v>
      </c>
      <c r="D7" s="127">
        <f>'Income Statement'!D94/'Income Statement'!D114</f>
        <v>0.92549912434325754</v>
      </c>
      <c r="E7" s="127">
        <f>'Income Statement'!E94/'Income Statement'!E114</f>
        <v>2.9507889908256884</v>
      </c>
      <c r="F7" s="127">
        <f>'Income Statement'!F94/'Income Statement'!F114</f>
        <v>2.6693357933579334</v>
      </c>
      <c r="G7" s="127">
        <f>'Income Statement'!G94/'Income Statement'!G114</f>
        <v>2.251177570093458</v>
      </c>
      <c r="H7" s="127">
        <f>'Income Statement'!H94/'Income Statement'!H114</f>
        <v>2.5841260162601629</v>
      </c>
      <c r="I7" s="127">
        <f>'Income Statement'!I94/'Income Statement'!I114</f>
        <v>-5.0383108108108114</v>
      </c>
      <c r="M7" s="134">
        <v>45291</v>
      </c>
      <c r="N7" s="135">
        <v>36.659999999999997</v>
      </c>
      <c r="BA7" s="176"/>
      <c r="BB7" s="177"/>
      <c r="BC7" s="180"/>
      <c r="BD7" s="179"/>
      <c r="BJ7" s="188"/>
      <c r="BK7" s="190"/>
      <c r="BL7" s="190"/>
      <c r="BM7" s="190"/>
      <c r="BN7" s="190"/>
      <c r="BO7" s="190"/>
      <c r="BP7" s="190"/>
      <c r="BQ7" s="190"/>
      <c r="BR7" s="191"/>
    </row>
    <row r="8" spans="1:70" ht="16.2" thickBot="1">
      <c r="A8" t="s">
        <v>578</v>
      </c>
      <c r="B8" s="26">
        <v>1.84</v>
      </c>
      <c r="C8" s="26">
        <v>2.02</v>
      </c>
      <c r="D8" s="26">
        <v>2.36</v>
      </c>
      <c r="E8" s="26">
        <v>2.73</v>
      </c>
      <c r="F8" s="26">
        <v>2.2999999999999998</v>
      </c>
      <c r="G8" s="26">
        <v>3.77</v>
      </c>
      <c r="H8" s="26">
        <v>2.85</v>
      </c>
      <c r="I8" s="26">
        <v>3.47</v>
      </c>
      <c r="M8" s="134">
        <v>44926</v>
      </c>
      <c r="N8" s="135">
        <v>41.94</v>
      </c>
      <c r="BA8" s="176"/>
      <c r="BB8" s="177"/>
      <c r="BC8" s="178"/>
      <c r="BD8" s="179"/>
      <c r="BJ8" s="188"/>
      <c r="BK8" s="192"/>
      <c r="BL8" s="192"/>
      <c r="BM8" s="192"/>
      <c r="BN8" s="192"/>
      <c r="BO8" s="192"/>
      <c r="BP8" s="192"/>
      <c r="BQ8" s="192"/>
      <c r="BR8" s="193"/>
    </row>
    <row r="9" spans="1:70" ht="16.2" thickBot="1">
      <c r="A9" t="s">
        <v>734</v>
      </c>
      <c r="B9" s="136">
        <v>4.2699999999999996</v>
      </c>
      <c r="C9" s="136">
        <v>4.3600000000000003</v>
      </c>
      <c r="D9" s="136">
        <v>3.72</v>
      </c>
      <c r="E9" s="136">
        <v>3.75</v>
      </c>
      <c r="F9" s="136">
        <v>5.0999999999999996</v>
      </c>
      <c r="G9" s="136">
        <v>3.15</v>
      </c>
      <c r="H9" s="136">
        <v>4.8499999999999996</v>
      </c>
      <c r="I9" s="136">
        <v>4.7</v>
      </c>
      <c r="M9" s="134">
        <v>44561</v>
      </c>
      <c r="N9" s="135">
        <v>41.59</v>
      </c>
      <c r="BA9" s="181"/>
      <c r="BB9" s="182"/>
      <c r="BC9" s="183"/>
      <c r="BD9" s="184"/>
      <c r="BJ9" s="189"/>
      <c r="BK9" s="194"/>
      <c r="BL9" s="194"/>
      <c r="BM9" s="194"/>
      <c r="BN9" s="194"/>
      <c r="BO9" s="194"/>
      <c r="BP9" s="194"/>
      <c r="BQ9" s="194"/>
      <c r="BR9" s="195"/>
    </row>
    <row r="10" spans="1:70">
      <c r="M10" s="134">
        <v>44196</v>
      </c>
      <c r="N10" s="135">
        <v>30.61</v>
      </c>
    </row>
    <row r="11" spans="1:70">
      <c r="M11" s="134">
        <v>43830</v>
      </c>
      <c r="N11" s="135">
        <v>48.6</v>
      </c>
    </row>
    <row r="12" spans="1:70">
      <c r="B12" s="129" t="s">
        <v>735</v>
      </c>
      <c r="C12" s="129"/>
      <c r="D12" s="129"/>
      <c r="E12" s="129"/>
      <c r="M12" s="134">
        <v>43465</v>
      </c>
      <c r="N12" s="135">
        <v>37.549999999999997</v>
      </c>
    </row>
    <row r="13" spans="1:70" ht="15" thickBot="1">
      <c r="M13" s="134">
        <v>43100</v>
      </c>
      <c r="N13" s="135">
        <v>30.62</v>
      </c>
    </row>
    <row r="14" spans="1:70" ht="15.6" thickTop="1" thickBot="1">
      <c r="A14" t="s">
        <v>736</v>
      </c>
      <c r="B14" s="130">
        <f>'Income Statement'!B29/'Income Statement'!B26</f>
        <v>0.44217635843608982</v>
      </c>
      <c r="C14" s="130">
        <f>'Income Statement'!C29/'Income Statement'!C26</f>
        <v>0.47451404036937311</v>
      </c>
      <c r="D14" s="130">
        <f>'Income Statement'!D29/'Income Statement'!D26</f>
        <v>0.4790111321933313</v>
      </c>
      <c r="E14" s="130">
        <f>'Income Statement'!E29/'Income Statement'!E26</f>
        <v>0.4264286947977815</v>
      </c>
      <c r="F14" s="130">
        <f>'Income Statement'!F29/'Income Statement'!F26</f>
        <v>0.40259473656926614</v>
      </c>
      <c r="G14" s="130">
        <f>'Income Statement'!G29/'Income Statement'!G26</f>
        <v>0.42084267325454211</v>
      </c>
      <c r="H14" s="130">
        <f>'Income Statement'!H29/'Income Statement'!H26</f>
        <v>0.424740123458059</v>
      </c>
      <c r="I14" s="130">
        <f>'Income Statement'!I29/'Income Statement'!I26</f>
        <v>0.40721093664601526</v>
      </c>
      <c r="M14" s="134">
        <v>42735</v>
      </c>
      <c r="N14" s="135">
        <v>30.97</v>
      </c>
      <c r="Q14" s="137"/>
      <c r="R14" s="137">
        <v>2024</v>
      </c>
      <c r="S14" s="137">
        <v>2023</v>
      </c>
      <c r="T14" s="137">
        <v>2022</v>
      </c>
      <c r="U14" s="137">
        <v>2021</v>
      </c>
      <c r="V14" s="137">
        <v>2020</v>
      </c>
      <c r="W14" s="137">
        <v>2019</v>
      </c>
      <c r="X14" s="137">
        <v>2018</v>
      </c>
      <c r="Y14" s="137">
        <v>2017</v>
      </c>
      <c r="AB14" s="153"/>
      <c r="AC14" s="154"/>
      <c r="AD14" s="154">
        <v>2024</v>
      </c>
      <c r="AE14" s="154">
        <v>2023</v>
      </c>
      <c r="AF14" s="154">
        <v>2022</v>
      </c>
      <c r="AG14" s="154">
        <v>2021</v>
      </c>
      <c r="AH14" s="154">
        <v>2020</v>
      </c>
      <c r="AI14" s="154">
        <v>2019</v>
      </c>
      <c r="AJ14" s="154">
        <v>2018</v>
      </c>
      <c r="AK14" s="154">
        <v>2017</v>
      </c>
    </row>
    <row r="15" spans="1:70" ht="41.4">
      <c r="A15" t="s">
        <v>737</v>
      </c>
      <c r="B15" s="130">
        <f>'Income Statement'!B34/'Income Statement'!B26</f>
        <v>0.55782364156391029</v>
      </c>
      <c r="C15" s="130">
        <f>'Income Statement'!C34/'Income Statement'!C26</f>
        <v>0.52548538378084542</v>
      </c>
      <c r="D15" s="130">
        <f>'Income Statement'!D34/'Income Statement'!D26</f>
        <v>0.52098886780666875</v>
      </c>
      <c r="E15" s="130">
        <f>'Income Statement'!E34/'Income Statement'!E26</f>
        <v>0.57357202186982881</v>
      </c>
      <c r="F15" s="130">
        <f>'Income Statement'!F34/'Income Statement'!F26</f>
        <v>0.59740526343073397</v>
      </c>
      <c r="G15" s="130">
        <f>'Income Statement'!G34/'Income Statement'!G26</f>
        <v>0.57915732674545795</v>
      </c>
      <c r="H15" s="130">
        <f>'Income Statement'!H34/'Income Statement'!H26</f>
        <v>0.575259876541941</v>
      </c>
      <c r="I15" s="130">
        <f>'Income Statement'!I34/'Income Statement'!I26</f>
        <v>0.59278906335398462</v>
      </c>
      <c r="M15" s="134">
        <v>42369</v>
      </c>
      <c r="N15" s="135">
        <v>31.73</v>
      </c>
      <c r="Q15" s="138" t="s">
        <v>57</v>
      </c>
      <c r="R15" s="139">
        <v>0.23</v>
      </c>
      <c r="S15" s="139">
        <v>0.223</v>
      </c>
      <c r="T15" s="139">
        <v>0.155</v>
      </c>
      <c r="U15" s="139">
        <v>0.16600000000000001</v>
      </c>
      <c r="V15" s="139">
        <v>0.13900000000000001</v>
      </c>
      <c r="W15" s="139">
        <v>0.189</v>
      </c>
      <c r="X15" s="139">
        <v>0.32700000000000001</v>
      </c>
      <c r="Y15" s="139">
        <v>0.20599999999999999</v>
      </c>
      <c r="AB15" s="231" t="s">
        <v>57</v>
      </c>
      <c r="AC15" s="155" t="s">
        <v>8</v>
      </c>
      <c r="AD15" s="156">
        <v>0.152</v>
      </c>
      <c r="AE15" s="156">
        <v>0.15</v>
      </c>
      <c r="AF15" s="156">
        <v>0.11700000000000001</v>
      </c>
      <c r="AG15" s="156">
        <v>0.14799999999999999</v>
      </c>
      <c r="AH15" s="156">
        <v>0.13900000000000001</v>
      </c>
      <c r="AI15" s="156">
        <v>0.14299999999999999</v>
      </c>
      <c r="AJ15" s="156">
        <v>0.11899999999999999</v>
      </c>
      <c r="AK15" s="156">
        <v>0.123</v>
      </c>
    </row>
    <row r="16" spans="1:70" ht="55.2">
      <c r="A16" t="s">
        <v>738</v>
      </c>
      <c r="B16" s="130">
        <f>'Income Statement'!B42/'Income Statement'!B26</f>
        <v>0.82370820504012821</v>
      </c>
      <c r="C16" s="130">
        <f>'Income Statement'!C42/'Income Statement'!C26</f>
        <v>0.82393162590034119</v>
      </c>
      <c r="D16" s="130">
        <f>'Income Statement'!D42/'Income Statement'!D26</f>
        <v>0.84669724787613931</v>
      </c>
      <c r="E16" s="130">
        <f>'Income Statement'!E42/'Income Statement'!E26</f>
        <v>0.85474365874581737</v>
      </c>
      <c r="F16" s="130">
        <f>'Income Statement'!F42/'Income Statement'!F26</f>
        <v>0.7996295208308134</v>
      </c>
      <c r="G16" s="130">
        <f>'Income Statement'!G42/'Income Statement'!G26</f>
        <v>0.77254203220744155</v>
      </c>
      <c r="H16" s="130">
        <f>'Income Statement'!H42/'Income Statement'!H26</f>
        <v>0.77781729056907323</v>
      </c>
      <c r="I16" s="130">
        <f>'Income Statement'!I42/'Income Statement'!I26</f>
        <v>0.77406672143922528</v>
      </c>
      <c r="Q16" s="140" t="s">
        <v>739</v>
      </c>
      <c r="R16" s="142">
        <v>3.1E-2</v>
      </c>
      <c r="S16" s="142">
        <v>3.6999999999999998E-2</v>
      </c>
      <c r="T16" s="142">
        <v>2.1999999999999999E-2</v>
      </c>
      <c r="U16" s="142">
        <v>2.1000000000000001E-2</v>
      </c>
      <c r="V16" s="142">
        <v>0.02</v>
      </c>
      <c r="W16" s="142">
        <v>3.1E-2</v>
      </c>
      <c r="X16" s="142">
        <v>5.2999999999999999E-2</v>
      </c>
      <c r="Y16" s="142">
        <v>3.6999999999999998E-2</v>
      </c>
      <c r="AB16" s="229"/>
      <c r="AC16" s="157" t="s">
        <v>740</v>
      </c>
      <c r="AD16" s="158">
        <v>8.4000000000000005E-2</v>
      </c>
      <c r="AE16" s="158">
        <v>9.2999999999999999E-2</v>
      </c>
      <c r="AF16" s="158">
        <v>3.5000000000000003E-2</v>
      </c>
      <c r="AG16" s="158">
        <v>0.111</v>
      </c>
      <c r="AH16" s="158">
        <v>9.2999999999999999E-2</v>
      </c>
      <c r="AI16" s="158">
        <v>8.2000000000000003E-2</v>
      </c>
      <c r="AJ16" s="158">
        <v>9.2999999999999999E-2</v>
      </c>
      <c r="AK16" s="158">
        <v>8.3000000000000004E-2</v>
      </c>
    </row>
    <row r="17" spans="1:37" ht="69">
      <c r="A17" t="s">
        <v>654</v>
      </c>
      <c r="B17" s="130">
        <f>'Income Statement'!B47/'Income Statement'!B26</f>
        <v>7.3262982694436332E-2</v>
      </c>
      <c r="C17" s="130">
        <f>'Income Statement'!C47/'Income Statement'!C26</f>
        <v>7.9797807624711795E-2</v>
      </c>
      <c r="D17" s="130">
        <f>'Income Statement'!D47/'Income Statement'!D26</f>
        <v>7.6651376061930343E-2</v>
      </c>
      <c r="E17" s="130">
        <f>'Income Statement'!E47/'Income Statement'!E26</f>
        <v>9.5759692750262124E-2</v>
      </c>
      <c r="F17" s="130">
        <f>'Income Statement'!F47/'Income Statement'!F26</f>
        <v>9.1566414957405265E-2</v>
      </c>
      <c r="G17" s="130">
        <f>'Income Statement'!G47/'Income Statement'!G26</f>
        <v>8.7177076707711076E-2</v>
      </c>
      <c r="H17" s="130">
        <f>'Income Statement'!H47/'Income Statement'!H26</f>
        <v>9.3330811823414808E-2</v>
      </c>
      <c r="I17" s="130">
        <f>'Income Statement'!I47/'Income Statement'!I26</f>
        <v>8.7206846334763763E-2</v>
      </c>
      <c r="Q17" s="140" t="s">
        <v>66</v>
      </c>
      <c r="R17" s="142">
        <v>1.677</v>
      </c>
      <c r="S17" s="142">
        <v>1.7050000000000001</v>
      </c>
      <c r="T17" s="142">
        <v>1.6930000000000001</v>
      </c>
      <c r="U17" s="142">
        <v>1.609</v>
      </c>
      <c r="V17" s="142">
        <v>1.625</v>
      </c>
      <c r="W17" s="142">
        <v>1.492</v>
      </c>
      <c r="X17" s="142">
        <v>1.3180000000000001</v>
      </c>
      <c r="Y17" s="142">
        <v>1.2450000000000001</v>
      </c>
      <c r="AB17" s="229" t="s">
        <v>739</v>
      </c>
      <c r="AC17" s="155" t="s">
        <v>8</v>
      </c>
      <c r="AD17" s="156">
        <v>0.03</v>
      </c>
      <c r="AE17" s="156">
        <v>2.4E-2</v>
      </c>
      <c r="AF17" s="156">
        <v>2.1999999999999999E-2</v>
      </c>
      <c r="AG17" s="156">
        <v>0.02</v>
      </c>
      <c r="AH17" s="156">
        <v>0.02</v>
      </c>
      <c r="AI17" s="156">
        <v>2.7E-2</v>
      </c>
      <c r="AJ17" s="156">
        <v>2.8000000000000001E-2</v>
      </c>
      <c r="AK17" s="156">
        <v>0.03</v>
      </c>
    </row>
    <row r="18" spans="1:37" ht="27.6">
      <c r="A18" t="s">
        <v>116</v>
      </c>
      <c r="B18" s="130">
        <f>'Income Statement'!B44/'Income Statement'!B26</f>
        <v>0.17629179495987174</v>
      </c>
      <c r="C18" s="130">
        <f>'Income Statement'!C44/'Income Statement'!C26</f>
        <v>0.17606837409965886</v>
      </c>
      <c r="D18" s="130">
        <f>'Income Statement'!D44/'Income Statement'!D26</f>
        <v>0.15330275212386069</v>
      </c>
      <c r="E18" s="130">
        <f>'Income Statement'!E44/'Income Statement'!E26</f>
        <v>0.14525705792179294</v>
      </c>
      <c r="F18" s="130">
        <f>'Income Statement'!F44/'Income Statement'!F26</f>
        <v>0.20037047916918663</v>
      </c>
      <c r="G18" s="130">
        <f>'Income Statement'!G44/'Income Statement'!G26</f>
        <v>0.22745796779255845</v>
      </c>
      <c r="H18" s="130">
        <f>'Income Statement'!H44/'Income Statement'!H26</f>
        <v>0.22218270943092674</v>
      </c>
      <c r="I18" s="130">
        <f>'Income Statement'!I44/'Income Statement'!I26</f>
        <v>0.22593327856077461</v>
      </c>
      <c r="Q18" s="140" t="s">
        <v>73</v>
      </c>
      <c r="R18" s="141">
        <v>0.2</v>
      </c>
      <c r="S18" s="141">
        <v>0.2</v>
      </c>
      <c r="T18" s="141">
        <v>0.22</v>
      </c>
      <c r="U18" s="141" t="s">
        <v>741</v>
      </c>
      <c r="V18" s="141">
        <v>0.19</v>
      </c>
      <c r="W18" s="141">
        <v>0.22</v>
      </c>
      <c r="X18" s="141">
        <v>0.24</v>
      </c>
      <c r="Y18" s="141">
        <v>0.24</v>
      </c>
      <c r="AB18" s="229"/>
      <c r="AC18" s="157" t="s">
        <v>740</v>
      </c>
      <c r="AD18" s="158">
        <v>2.1999999999999999E-2</v>
      </c>
      <c r="AE18" s="158">
        <v>2.5000000000000001E-2</v>
      </c>
      <c r="AF18" s="160">
        <v>0.01</v>
      </c>
      <c r="AG18" s="158">
        <v>2.8000000000000001E-2</v>
      </c>
      <c r="AH18" s="158">
        <v>2.3E-2</v>
      </c>
      <c r="AI18" s="158">
        <v>2.1999999999999999E-2</v>
      </c>
      <c r="AJ18" s="158">
        <v>2.5000000000000001E-2</v>
      </c>
      <c r="AK18" s="158">
        <v>2.1000000000000001E-2</v>
      </c>
    </row>
    <row r="19" spans="1:37" ht="33" customHeight="1">
      <c r="A19" t="s">
        <v>742</v>
      </c>
      <c r="B19" s="130">
        <f>'Income Statement'!B69/'Income Statement'!B26</f>
        <v>2.7983856592622772E-2</v>
      </c>
      <c r="C19" s="130">
        <f>'Income Statement'!C69/'Income Statement'!C26</f>
        <v>2.0746140078914455E-2</v>
      </c>
      <c r="D19" s="130">
        <f>'Income Statement'!D69/'Income Statement'!D26</f>
        <v>8.0263033755464189E-2</v>
      </c>
      <c r="E19" s="130">
        <f>'Income Statement'!E69/'Income Statement'!E26</f>
        <v>2.8746254515901782E-2</v>
      </c>
      <c r="F19" s="130">
        <f>'Income Statement'!F69/'Income Statement'!F26</f>
        <v>1.1677696946657219E-2</v>
      </c>
      <c r="G19" s="130">
        <f>'Income Statement'!G69/'Income Statement'!G26</f>
        <v>1.9302465875839225E-2</v>
      </c>
      <c r="H19" s="130">
        <f>'Income Statement'!H69/'Income Statement'!H26</f>
        <v>4.1381540765894939E-2</v>
      </c>
      <c r="I19" s="130">
        <f>'Income Statement'!I69/'Income Statement'!I26</f>
        <v>4.7767077931007734E-2</v>
      </c>
      <c r="Q19" s="140" t="s">
        <v>80</v>
      </c>
      <c r="R19" s="141">
        <v>0.44</v>
      </c>
      <c r="S19" s="141">
        <v>0.53</v>
      </c>
      <c r="T19" s="141">
        <v>0.51</v>
      </c>
      <c r="U19" s="141">
        <v>0.63</v>
      </c>
      <c r="V19" s="141">
        <v>0.44</v>
      </c>
      <c r="W19" s="141">
        <v>0.4</v>
      </c>
      <c r="X19" s="141">
        <v>0.48</v>
      </c>
      <c r="Y19" s="141">
        <v>0.51</v>
      </c>
      <c r="AB19" s="229" t="s">
        <v>66</v>
      </c>
      <c r="AC19" s="155" t="s">
        <v>8</v>
      </c>
      <c r="AD19" s="156">
        <v>1.677</v>
      </c>
      <c r="AE19" s="156">
        <v>1.7050000000000001</v>
      </c>
      <c r="AF19" s="156">
        <v>1.619</v>
      </c>
      <c r="AG19" s="156">
        <v>1.403</v>
      </c>
      <c r="AH19" s="156">
        <v>1.399</v>
      </c>
      <c r="AI19" s="156">
        <v>1.278</v>
      </c>
      <c r="AJ19" s="156">
        <v>1.3180000000000001</v>
      </c>
      <c r="AK19" s="156">
        <v>1.2450000000000001</v>
      </c>
    </row>
    <row r="20" spans="1:37" ht="27.6">
      <c r="A20" t="s">
        <v>164</v>
      </c>
      <c r="B20" s="130">
        <f>'Income Statement'!B94/'Income Statement'!B26</f>
        <v>7.2594946001721838E-2</v>
      </c>
      <c r="C20" s="130">
        <f>'Income Statement'!C94/'Income Statement'!C26</f>
        <v>8.5625407413720434E-2</v>
      </c>
      <c r="D20" s="130">
        <f>'Income Statement'!D94/'Income Statement'!D26</f>
        <v>3.2586932298529991E-2</v>
      </c>
      <c r="E20" s="130">
        <f>'Income Statement'!E94/'Income Statement'!E26</f>
        <v>0.11525305174985148</v>
      </c>
      <c r="F20" s="130">
        <f>'Income Statement'!F94/'Income Statement'!F26</f>
        <v>0.10000034559623991</v>
      </c>
      <c r="G20" s="130">
        <f>'Income Statement'!G94/'Income Statement'!G26</f>
        <v>8.2283310981287827E-2</v>
      </c>
      <c r="H20" s="130">
        <f>'Income Statement'!H94/'Income Statement'!H26</f>
        <v>8.7114741719957547E-2</v>
      </c>
      <c r="I20" s="130">
        <f>'Income Statement'!I94/'Income Statement'!I26</f>
        <v>-0.15775977884110201</v>
      </c>
      <c r="Q20" s="140" t="s">
        <v>81</v>
      </c>
      <c r="R20" s="141">
        <v>0.31</v>
      </c>
      <c r="S20" s="141">
        <v>0.36</v>
      </c>
      <c r="T20" s="141">
        <v>0.41</v>
      </c>
      <c r="U20" s="141">
        <v>0.55000000000000004</v>
      </c>
      <c r="V20" s="141">
        <v>0.31</v>
      </c>
      <c r="W20" s="141">
        <v>0.28000000000000003</v>
      </c>
      <c r="X20" s="141">
        <v>0.37</v>
      </c>
      <c r="Y20" s="141">
        <v>0.4</v>
      </c>
      <c r="AB20" s="229"/>
      <c r="AC20" s="157" t="s">
        <v>740</v>
      </c>
      <c r="AD20" s="158">
        <v>1.7509999999999999</v>
      </c>
      <c r="AE20" s="158">
        <v>2.282</v>
      </c>
      <c r="AF20" s="158">
        <v>2.0350000000000001</v>
      </c>
      <c r="AG20" s="158">
        <v>2.75</v>
      </c>
      <c r="AH20" s="158">
        <v>3.3820000000000001</v>
      </c>
      <c r="AI20" s="158">
        <v>3.0110000000000001</v>
      </c>
      <c r="AJ20" s="158">
        <v>2.8620000000000001</v>
      </c>
      <c r="AK20" s="158">
        <v>4.9800000000000004</v>
      </c>
    </row>
    <row r="21" spans="1:37" ht="55.2">
      <c r="Q21" s="140" t="s">
        <v>84</v>
      </c>
      <c r="R21" s="141">
        <v>7.48</v>
      </c>
      <c r="S21" s="141">
        <v>7.07</v>
      </c>
      <c r="T21" s="141">
        <v>8.1300000000000008</v>
      </c>
      <c r="U21" s="141" t="s">
        <v>741</v>
      </c>
      <c r="V21" s="141">
        <v>7.99</v>
      </c>
      <c r="W21" s="141">
        <v>8.57</v>
      </c>
      <c r="X21" s="141">
        <v>8.48</v>
      </c>
      <c r="Y21" s="141">
        <v>8.1</v>
      </c>
      <c r="AB21" s="229" t="s">
        <v>80</v>
      </c>
      <c r="AC21" s="155" t="s">
        <v>8</v>
      </c>
      <c r="AD21" s="155">
        <v>0.67</v>
      </c>
      <c r="AE21" s="155">
        <v>0.74</v>
      </c>
      <c r="AF21" s="155">
        <v>0.66</v>
      </c>
      <c r="AG21" s="155">
        <v>0.82</v>
      </c>
      <c r="AH21" s="155">
        <v>0.66</v>
      </c>
      <c r="AI21" s="155">
        <v>0.64</v>
      </c>
      <c r="AJ21" s="155">
        <v>0.67</v>
      </c>
      <c r="AK21" s="155">
        <v>0.74</v>
      </c>
    </row>
    <row r="22" spans="1:37" ht="27.6">
      <c r="Q22" s="140" t="s">
        <v>86</v>
      </c>
      <c r="R22" s="141">
        <v>5.86</v>
      </c>
      <c r="S22" s="141">
        <v>5.85</v>
      </c>
      <c r="T22" s="141">
        <v>6.11</v>
      </c>
      <c r="U22" s="141" t="s">
        <v>741</v>
      </c>
      <c r="V22" s="141">
        <v>5.6</v>
      </c>
      <c r="W22" s="141">
        <v>5.85</v>
      </c>
      <c r="X22" s="141">
        <v>6.24</v>
      </c>
      <c r="Y22" s="141">
        <v>5.85</v>
      </c>
      <c r="AB22" s="229"/>
      <c r="AC22" s="157" t="s">
        <v>740</v>
      </c>
      <c r="AD22" s="157">
        <v>0.56000000000000005</v>
      </c>
      <c r="AE22" s="157">
        <v>0.48</v>
      </c>
      <c r="AF22" s="157">
        <v>0.61</v>
      </c>
      <c r="AG22" s="157">
        <v>0.73</v>
      </c>
      <c r="AH22" s="157">
        <v>0.74</v>
      </c>
      <c r="AI22" s="157">
        <v>0.5</v>
      </c>
      <c r="AJ22" s="157">
        <v>0.52</v>
      </c>
      <c r="AK22" s="157">
        <v>0.76</v>
      </c>
    </row>
    <row r="23" spans="1:37">
      <c r="B23" s="129" t="s">
        <v>743</v>
      </c>
      <c r="C23" s="128"/>
      <c r="D23" s="128"/>
      <c r="E23" s="128"/>
      <c r="Q23" s="137"/>
      <c r="R23" s="137"/>
      <c r="S23" s="137"/>
      <c r="T23" s="137"/>
      <c r="U23" s="137"/>
      <c r="V23" s="137"/>
      <c r="W23" s="137"/>
      <c r="X23" s="137"/>
      <c r="Y23" s="137"/>
      <c r="AB23" s="229" t="s">
        <v>81</v>
      </c>
      <c r="AC23" s="155" t="s">
        <v>8</v>
      </c>
      <c r="AD23" s="155">
        <v>0.46</v>
      </c>
      <c r="AE23" s="155">
        <v>0.49</v>
      </c>
      <c r="AF23" s="155">
        <v>0.5</v>
      </c>
      <c r="AG23" s="155">
        <v>0.57999999999999996</v>
      </c>
      <c r="AH23" s="155">
        <v>0.5</v>
      </c>
      <c r="AI23" s="155">
        <v>0.46</v>
      </c>
      <c r="AJ23" s="155">
        <v>0.5</v>
      </c>
      <c r="AK23" s="155">
        <v>0.55000000000000004</v>
      </c>
    </row>
    <row r="24" spans="1:37">
      <c r="Q24" s="137"/>
      <c r="R24" s="137"/>
      <c r="S24" s="137"/>
      <c r="T24" s="137"/>
      <c r="U24" s="137"/>
      <c r="V24" s="137"/>
      <c r="W24" s="137"/>
      <c r="X24" s="137"/>
      <c r="Y24" s="137"/>
      <c r="AB24" s="229"/>
      <c r="AC24" s="157" t="s">
        <v>740</v>
      </c>
      <c r="AD24" s="157">
        <v>0.45</v>
      </c>
      <c r="AE24" s="157">
        <v>0.38</v>
      </c>
      <c r="AF24" s="157">
        <v>0.5</v>
      </c>
      <c r="AG24" s="157">
        <v>0.67</v>
      </c>
      <c r="AH24" s="157">
        <v>0.68</v>
      </c>
      <c r="AI24" s="157">
        <v>0.44</v>
      </c>
      <c r="AJ24" s="157">
        <v>0.46</v>
      </c>
      <c r="AK24" s="157">
        <v>0.7</v>
      </c>
    </row>
    <row r="25" spans="1:37" ht="41.4">
      <c r="A25" t="s">
        <v>744</v>
      </c>
      <c r="B25" s="130">
        <f>'Balance Sheet'!B23/'Balance Sheet'!B72</f>
        <v>2.13283747957456E-3</v>
      </c>
      <c r="C25" s="130">
        <f>'Balance Sheet'!C23/'Balance Sheet'!C72</f>
        <v>2.8093310166338223E-3</v>
      </c>
      <c r="D25" s="130">
        <f>'Balance Sheet'!D23/'Balance Sheet'!D72</f>
        <v>3.470049572822779E-3</v>
      </c>
      <c r="E25" s="130">
        <f>'Balance Sheet'!E23/'Balance Sheet'!E72</f>
        <v>3.2179946650443325E-2</v>
      </c>
      <c r="F25" s="130">
        <f>'Balance Sheet'!F23/'Balance Sheet'!F72</f>
        <v>3.899780699391036E-2</v>
      </c>
      <c r="G25" s="130">
        <f>'Balance Sheet'!G23/'Balance Sheet'!G72</f>
        <v>1.4822304198202581E-2</v>
      </c>
      <c r="H25" s="130">
        <f>'Balance Sheet'!H23/'Balance Sheet'!H72</f>
        <v>9.1606110563933647E-3</v>
      </c>
      <c r="I25" s="130">
        <f>'Balance Sheet'!I23/'Balance Sheet'!I72</f>
        <v>1.3914899213741304E-2</v>
      </c>
      <c r="Q25" s="138" t="s">
        <v>57</v>
      </c>
      <c r="R25" s="139">
        <v>0.159</v>
      </c>
      <c r="S25" s="139">
        <v>0.152</v>
      </c>
      <c r="T25" s="139">
        <v>0.11700000000000001</v>
      </c>
      <c r="U25" s="139">
        <v>0.1</v>
      </c>
      <c r="V25" s="139">
        <v>0.152</v>
      </c>
      <c r="W25" s="139">
        <v>0.222</v>
      </c>
      <c r="X25" s="139">
        <v>9.7000000000000003E-2</v>
      </c>
      <c r="Y25" s="139">
        <v>2.9000000000000001E-2</v>
      </c>
      <c r="AB25" s="229" t="s">
        <v>84</v>
      </c>
      <c r="AC25" s="155" t="s">
        <v>8</v>
      </c>
      <c r="AD25" s="155">
        <v>6.47</v>
      </c>
      <c r="AE25" s="155">
        <v>6.28</v>
      </c>
      <c r="AF25" s="155">
        <v>5.47</v>
      </c>
      <c r="AG25" s="155">
        <v>4.5</v>
      </c>
      <c r="AH25" s="155">
        <v>5.86</v>
      </c>
      <c r="AI25" s="155">
        <v>5.77</v>
      </c>
      <c r="AJ25" s="155">
        <v>6.19</v>
      </c>
      <c r="AK25" s="155">
        <v>6.14</v>
      </c>
    </row>
    <row r="26" spans="1:37" ht="55.2">
      <c r="A26" t="s">
        <v>745</v>
      </c>
      <c r="B26" s="130">
        <f>'Balance Sheet'!B25/'Balance Sheet'!B72</f>
        <v>3.5220145787098131E-2</v>
      </c>
      <c r="C26" s="130">
        <f>'Balance Sheet'!C25/'Balance Sheet'!C72</f>
        <v>3.2481012709180676E-2</v>
      </c>
      <c r="D26" s="130">
        <f>'Balance Sheet'!D25/'Balance Sheet'!D72</f>
        <v>3.4072211542725009E-2</v>
      </c>
      <c r="E26" s="130">
        <f>'Balance Sheet'!E25/'Balance Sheet'!E72</f>
        <v>2.815198717603629E-2</v>
      </c>
      <c r="F26" s="130">
        <f>'Balance Sheet'!F25/'Balance Sheet'!F72</f>
        <v>3.2363314310084663E-2</v>
      </c>
      <c r="G26" s="130">
        <f>'Balance Sheet'!G25/'Balance Sheet'!G72</f>
        <v>3.059032172093247E-2</v>
      </c>
      <c r="H26" s="130">
        <f>'Balance Sheet'!H25/'Balance Sheet'!H72</f>
        <v>3.7715587260732389E-2</v>
      </c>
      <c r="I26" s="130">
        <f>'Balance Sheet'!I25/'Balance Sheet'!I72</f>
        <v>3.4361162692723886E-2</v>
      </c>
      <c r="Q26" s="140" t="s">
        <v>739</v>
      </c>
      <c r="R26" s="142">
        <v>0.03</v>
      </c>
      <c r="S26" s="142">
        <v>2.8000000000000001E-2</v>
      </c>
      <c r="T26" s="142">
        <v>2.5999999999999999E-2</v>
      </c>
      <c r="U26" s="142">
        <v>1.7999999999999999E-2</v>
      </c>
      <c r="V26" s="142">
        <v>2.5999999999999999E-2</v>
      </c>
      <c r="W26" s="142">
        <v>0.04</v>
      </c>
      <c r="X26" s="142">
        <v>0.02</v>
      </c>
      <c r="Y26" s="142">
        <v>6.0000000000000001E-3</v>
      </c>
      <c r="AB26" s="229"/>
      <c r="AC26" s="157" t="s">
        <v>740</v>
      </c>
      <c r="AD26" s="157">
        <v>7.89</v>
      </c>
      <c r="AE26" s="157">
        <v>8.16</v>
      </c>
      <c r="AF26" s="157">
        <v>8.74</v>
      </c>
      <c r="AG26" s="157">
        <v>8.19</v>
      </c>
      <c r="AH26" s="157">
        <v>7.9</v>
      </c>
      <c r="AI26" s="157">
        <v>7.87</v>
      </c>
      <c r="AJ26" s="157">
        <v>7.6</v>
      </c>
      <c r="AK26" s="157">
        <v>7.13</v>
      </c>
    </row>
    <row r="27" spans="1:37" ht="69">
      <c r="A27" t="s">
        <v>746</v>
      </c>
      <c r="B27" s="130">
        <f>'Balance Sheet'!B30/'Balance Sheet'!B72</f>
        <v>1.0548739986373463E-2</v>
      </c>
      <c r="C27" s="130">
        <f>'Balance Sheet'!C30/'Balance Sheet'!C72</f>
        <v>1.0498841263198833E-2</v>
      </c>
      <c r="D27" s="130">
        <f>'Balance Sheet'!D30/'Balance Sheet'!D72</f>
        <v>9.1306899936979477E-3</v>
      </c>
      <c r="E27" s="130">
        <f>'Balance Sheet'!E30/'Balance Sheet'!E72</f>
        <v>5.7227687203859181E-3</v>
      </c>
      <c r="F27" s="130">
        <f>'Balance Sheet'!F30/'Balance Sheet'!F72</f>
        <v>7.1293456651426524E-3</v>
      </c>
      <c r="G27" s="130">
        <f>'Balance Sheet'!G30/'Balance Sheet'!G72</f>
        <v>6.6429306882244401E-3</v>
      </c>
      <c r="H27" s="130">
        <f>'Balance Sheet'!H30/'Balance Sheet'!H72</f>
        <v>6.2900495315089096E-3</v>
      </c>
      <c r="I27" s="130">
        <f>'Balance Sheet'!I30/'Balance Sheet'!I72</f>
        <v>5.5849260809199006E-3</v>
      </c>
      <c r="Q27" s="140" t="s">
        <v>66</v>
      </c>
      <c r="R27" s="142">
        <v>1.768</v>
      </c>
      <c r="S27" s="142">
        <v>1.76</v>
      </c>
      <c r="T27" s="142">
        <v>1.667</v>
      </c>
      <c r="U27" s="142">
        <v>1.649</v>
      </c>
      <c r="V27" s="142">
        <v>1.512</v>
      </c>
      <c r="W27" s="142">
        <v>1.462</v>
      </c>
      <c r="X27" s="142">
        <v>1.597</v>
      </c>
      <c r="Y27" s="142">
        <v>1.9650000000000001</v>
      </c>
      <c r="AB27" s="229" t="s">
        <v>86</v>
      </c>
      <c r="AC27" s="155" t="s">
        <v>8</v>
      </c>
      <c r="AD27" s="155">
        <v>5.9</v>
      </c>
      <c r="AE27" s="155">
        <v>5.63</v>
      </c>
      <c r="AF27" s="155">
        <v>6.11</v>
      </c>
      <c r="AG27" s="155">
        <v>5.5650000000000004</v>
      </c>
      <c r="AH27" s="155">
        <v>5.22</v>
      </c>
      <c r="AI27" s="155">
        <v>5.85</v>
      </c>
      <c r="AJ27" s="155">
        <v>6.24</v>
      </c>
      <c r="AK27" s="155">
        <v>5.85</v>
      </c>
    </row>
    <row r="28" spans="1:37" ht="28.2" thickBot="1">
      <c r="A28" t="s">
        <v>336</v>
      </c>
      <c r="B28" s="130">
        <f>'Balance Sheet'!B37/'Balance Sheet'!B72</f>
        <v>5.3339510126167715E-2</v>
      </c>
      <c r="C28" s="130">
        <f>'Balance Sheet'!C37/'Balance Sheet'!C72</f>
        <v>5.2658623242020017E-2</v>
      </c>
      <c r="D28" s="130">
        <f>'Balance Sheet'!D37/'Balance Sheet'!D72</f>
        <v>5.2376971151591283E-2</v>
      </c>
      <c r="E28" s="130">
        <f>'Balance Sheet'!E37/'Balance Sheet'!E72</f>
        <v>7.1249411355187101E-2</v>
      </c>
      <c r="F28" s="130">
        <f>'Balance Sheet'!F37/'Balance Sheet'!F72</f>
        <v>8.3528215188435465E-2</v>
      </c>
      <c r="G28" s="130">
        <f>'Balance Sheet'!G37/'Balance Sheet'!G72</f>
        <v>5.7776439559543348E-2</v>
      </c>
      <c r="H28" s="130">
        <f>'Balance Sheet'!H37/'Balance Sheet'!H72</f>
        <v>5.9705959174439459E-2</v>
      </c>
      <c r="I28" s="130">
        <f>'Balance Sheet'!I37/'Balance Sheet'!I72</f>
        <v>7.359732874878426E-2</v>
      </c>
      <c r="Q28" s="140" t="s">
        <v>73</v>
      </c>
      <c r="R28" s="141">
        <v>0.19</v>
      </c>
      <c r="S28" s="141">
        <v>0.18</v>
      </c>
      <c r="T28" s="141">
        <v>0.22</v>
      </c>
      <c r="U28" s="141">
        <v>0.18</v>
      </c>
      <c r="V28" s="141">
        <v>0.17</v>
      </c>
      <c r="W28" s="141">
        <v>0.18</v>
      </c>
      <c r="X28" s="141">
        <v>0.21</v>
      </c>
      <c r="Y28" s="141">
        <v>0.21</v>
      </c>
      <c r="AB28" s="230"/>
      <c r="AC28" s="159" t="s">
        <v>740</v>
      </c>
      <c r="AD28" s="159">
        <v>4.0599999999999996</v>
      </c>
      <c r="AE28" s="159">
        <v>4.26</v>
      </c>
      <c r="AF28" s="159">
        <v>4.88</v>
      </c>
      <c r="AG28" s="159">
        <v>5.36</v>
      </c>
      <c r="AH28" s="159">
        <v>4.74</v>
      </c>
      <c r="AI28" s="159">
        <v>4.71</v>
      </c>
      <c r="AJ28" s="159">
        <v>5.34</v>
      </c>
      <c r="AK28" s="159">
        <v>4.76</v>
      </c>
    </row>
    <row r="29" spans="1:37" ht="28.2" thickTop="1">
      <c r="A29" t="s">
        <v>747</v>
      </c>
      <c r="B29" s="130">
        <f>'Balance Sheet'!B75/'Balance Sheet'!B72</f>
        <v>3.0262855316466872E-2</v>
      </c>
      <c r="C29" s="130">
        <f>'Balance Sheet'!C75/'Balance Sheet'!C72</f>
        <v>2.7928738422114605E-2</v>
      </c>
      <c r="D29" s="130">
        <f>'Balance Sheet'!D75/'Balance Sheet'!D72</f>
        <v>3.2597304412731967E-2</v>
      </c>
      <c r="E29" s="130">
        <f>'Balance Sheet'!E75/'Balance Sheet'!E72</f>
        <v>2.075636089192821E-2</v>
      </c>
      <c r="F29" s="130">
        <f>'Balance Sheet'!F75/'Balance Sheet'!F72</f>
        <v>1.8599299291005178E-2</v>
      </c>
      <c r="G29" s="130">
        <f>'Balance Sheet'!G75/'Balance Sheet'!G72</f>
        <v>2.3758248367802565E-2</v>
      </c>
      <c r="H29" s="130">
        <f>'Balance Sheet'!H75/'Balance Sheet'!H72</f>
        <v>2.4087055090876709E-2</v>
      </c>
      <c r="I29" s="130">
        <f>'Balance Sheet'!I75/'Balance Sheet'!I72</f>
        <v>1.9570761118814117E-2</v>
      </c>
      <c r="Q29" s="140" t="s">
        <v>80</v>
      </c>
      <c r="R29" s="141">
        <v>0.67</v>
      </c>
      <c r="S29" s="141">
        <v>0.77</v>
      </c>
      <c r="T29" s="141">
        <v>0.66</v>
      </c>
      <c r="U29" s="141">
        <v>0.82</v>
      </c>
      <c r="V29" s="141">
        <v>0.71</v>
      </c>
      <c r="W29" s="141">
        <v>0.78</v>
      </c>
      <c r="X29" s="141">
        <v>0.67</v>
      </c>
      <c r="Y29" s="141">
        <v>0.74</v>
      </c>
    </row>
    <row r="30" spans="1:37" ht="28.2" thickBot="1">
      <c r="A30" t="s">
        <v>405</v>
      </c>
      <c r="B30" s="130">
        <f>'Balance Sheet'!B107/'Balance Sheet'!B72</f>
        <v>0.64036207194431483</v>
      </c>
      <c r="C30" s="130">
        <f>'Balance Sheet'!C107/'Balance Sheet'!C72</f>
        <v>0.66571654738698616</v>
      </c>
      <c r="D30" s="130">
        <f>'Balance Sheet'!D107/'Balance Sheet'!D72</f>
        <v>0.68333036399024005</v>
      </c>
      <c r="E30" s="130">
        <f>'Balance Sheet'!E107/'Balance Sheet'!E72</f>
        <v>0.71185507569062001</v>
      </c>
      <c r="F30" s="130">
        <f>'Balance Sheet'!F107/'Balance Sheet'!F72</f>
        <v>0.724698675875184</v>
      </c>
      <c r="G30" s="130">
        <f>'Balance Sheet'!G107/'Balance Sheet'!G72</f>
        <v>0.72017207431431696</v>
      </c>
      <c r="H30" s="130">
        <f>'Balance Sheet'!H107/'Balance Sheet'!H72</f>
        <v>0.71425017905546195</v>
      </c>
      <c r="I30" s="130">
        <f>'Balance Sheet'!I107/'Balance Sheet'!I72</f>
        <v>0.80978304739171614</v>
      </c>
      <c r="Q30" s="140" t="s">
        <v>81</v>
      </c>
      <c r="R30" s="141">
        <v>0.46</v>
      </c>
      <c r="S30" s="141">
        <v>0.53</v>
      </c>
      <c r="T30" s="141">
        <v>0.49</v>
      </c>
      <c r="U30" s="141">
        <v>0.57999999999999996</v>
      </c>
      <c r="V30" s="141">
        <v>0.51</v>
      </c>
      <c r="W30" s="141">
        <v>0.59</v>
      </c>
      <c r="X30" s="141">
        <v>0.5</v>
      </c>
      <c r="Y30" s="141">
        <v>0.55000000000000004</v>
      </c>
    </row>
    <row r="31" spans="1:37" ht="56.4" thickTop="1" thickBot="1">
      <c r="A31" t="s">
        <v>387</v>
      </c>
      <c r="B31" s="130">
        <f>'Balance Sheet'!B90/'Balance Sheet'!B72</f>
        <v>9.6014966474151864E-2</v>
      </c>
      <c r="C31" s="130">
        <f>'Balance Sheet'!C90/'Balance Sheet'!C72</f>
        <v>0.11044358664841671</v>
      </c>
      <c r="D31" s="130">
        <f>'Balance Sheet'!D90/'Balance Sheet'!D72</f>
        <v>8.5841867993730919E-2</v>
      </c>
      <c r="E31" s="130">
        <f>'Balance Sheet'!E90/'Balance Sheet'!E72</f>
        <v>9.7200132616035981E-2</v>
      </c>
      <c r="F31" s="130">
        <f>'Balance Sheet'!F90/'Balance Sheet'!F72</f>
        <v>0.11254045083032303</v>
      </c>
      <c r="G31" s="130">
        <f>'Balance Sheet'!G90/'Balance Sheet'!G72</f>
        <v>0.11493811994739686</v>
      </c>
      <c r="H31" s="130">
        <f>'Balance Sheet'!H90/'Balance Sheet'!H72</f>
        <v>0.11566790661697103</v>
      </c>
      <c r="I31" s="130">
        <f>'Balance Sheet'!I90/'Balance Sheet'!I72</f>
        <v>9.7332982354666711E-2</v>
      </c>
      <c r="Q31" s="140" t="s">
        <v>84</v>
      </c>
      <c r="R31" s="141">
        <v>6.48</v>
      </c>
      <c r="S31" s="141">
        <v>6.58</v>
      </c>
      <c r="T31" s="141">
        <v>8.77</v>
      </c>
      <c r="U31" s="141">
        <v>7.34</v>
      </c>
      <c r="V31" s="141">
        <v>6.04</v>
      </c>
      <c r="W31" s="141">
        <v>5.74</v>
      </c>
      <c r="X31" s="141">
        <v>5.8</v>
      </c>
      <c r="Y31" s="141">
        <v>5.88</v>
      </c>
      <c r="AB31" s="161" t="s">
        <v>748</v>
      </c>
      <c r="AC31" s="161">
        <v>2024</v>
      </c>
      <c r="AD31" s="161">
        <v>2023</v>
      </c>
      <c r="AE31" s="161">
        <v>2022</v>
      </c>
      <c r="AF31" s="161">
        <v>2021</v>
      </c>
      <c r="AG31" s="161">
        <v>2020</v>
      </c>
      <c r="AH31" s="161">
        <v>2019</v>
      </c>
      <c r="AI31" s="161">
        <v>2018</v>
      </c>
      <c r="AJ31" s="161">
        <v>2017</v>
      </c>
    </row>
    <row r="32" spans="1:37" ht="27.6">
      <c r="A32" t="s">
        <v>423</v>
      </c>
      <c r="B32" s="130">
        <f>'Balance Sheet'!B128/'Balance Sheet'!B72</f>
        <v>0.26362309520122257</v>
      </c>
      <c r="C32" s="130">
        <f>'Balance Sheet'!C128/'Balance Sheet'!C72</f>
        <v>0.2238398659645971</v>
      </c>
      <c r="D32" s="130">
        <f>'Balance Sheet'!D128/'Balance Sheet'!D72</f>
        <v>0.23082760794362506</v>
      </c>
      <c r="E32" s="130">
        <f>'Balance Sheet'!E128/'Balance Sheet'!E72</f>
        <v>0.19094479169334405</v>
      </c>
      <c r="F32" s="130">
        <f>'Balance Sheet'!F128/'Balance Sheet'!F72</f>
        <v>0.16276087329449301</v>
      </c>
      <c r="G32" s="130">
        <f>'Balance Sheet'!G128/'Balance Sheet'!G72</f>
        <v>0.16488980573828627</v>
      </c>
      <c r="H32" s="130">
        <f>'Balance Sheet'!H128/'Balance Sheet'!H72</f>
        <v>0.17008209736407295</v>
      </c>
      <c r="I32" s="130">
        <f>'Balance Sheet'!I128/'Balance Sheet'!I72</f>
        <v>9.2883970253617221E-2</v>
      </c>
      <c r="Q32" s="140" t="s">
        <v>86</v>
      </c>
      <c r="R32" s="141">
        <v>5.5</v>
      </c>
      <c r="S32" s="141">
        <v>5.63</v>
      </c>
      <c r="T32" s="141">
        <v>7.77</v>
      </c>
      <c r="U32" s="141">
        <v>6.68</v>
      </c>
      <c r="V32" s="141">
        <v>5.22</v>
      </c>
      <c r="W32" s="141">
        <v>4.95</v>
      </c>
      <c r="X32" s="141">
        <v>5.21</v>
      </c>
      <c r="Y32" s="141">
        <v>5.04</v>
      </c>
      <c r="AB32" s="162" t="s">
        <v>80</v>
      </c>
      <c r="AC32" s="155">
        <v>0.56000000000000005</v>
      </c>
      <c r="AD32" s="155">
        <v>0.48</v>
      </c>
      <c r="AE32" s="155">
        <v>0.61</v>
      </c>
      <c r="AF32" s="155">
        <v>0.73</v>
      </c>
      <c r="AG32" s="155">
        <v>0.74</v>
      </c>
      <c r="AH32" s="155">
        <v>0.5</v>
      </c>
      <c r="AI32" s="155">
        <v>0.52</v>
      </c>
      <c r="AJ32" s="155">
        <v>0.76</v>
      </c>
    </row>
    <row r="33" spans="17:36" ht="24">
      <c r="Q33" s="137"/>
      <c r="R33" s="137"/>
      <c r="S33" s="137"/>
      <c r="T33" s="137"/>
      <c r="U33" s="137"/>
      <c r="V33" s="137"/>
      <c r="W33" s="137"/>
      <c r="X33" s="137"/>
      <c r="Y33" s="137"/>
      <c r="AB33" s="162" t="s">
        <v>81</v>
      </c>
      <c r="AC33" s="157">
        <v>0.45</v>
      </c>
      <c r="AD33" s="157">
        <v>0.38</v>
      </c>
      <c r="AE33" s="157">
        <v>0.5</v>
      </c>
      <c r="AF33" s="157">
        <v>0.67</v>
      </c>
      <c r="AG33" s="157">
        <v>0.68</v>
      </c>
      <c r="AH33" s="157">
        <v>0.44</v>
      </c>
      <c r="AI33" s="157">
        <v>0.46</v>
      </c>
      <c r="AJ33" s="157">
        <v>0.7</v>
      </c>
    </row>
    <row r="34" spans="17:36" ht="15" thickBot="1">
      <c r="Q34" s="137"/>
      <c r="R34" s="137"/>
      <c r="S34" s="137"/>
      <c r="T34" s="137"/>
      <c r="U34" s="137"/>
      <c r="V34" s="137"/>
      <c r="W34" s="137"/>
      <c r="X34" s="137"/>
      <c r="Y34" s="137"/>
      <c r="AB34" s="163" t="s">
        <v>726</v>
      </c>
      <c r="AC34" s="164">
        <v>0.02</v>
      </c>
      <c r="AD34" s="164">
        <v>0.03</v>
      </c>
      <c r="AE34" s="164">
        <v>0.04</v>
      </c>
      <c r="AF34" s="164">
        <v>0.33</v>
      </c>
      <c r="AG34" s="164">
        <v>0.35</v>
      </c>
      <c r="AH34" s="164">
        <v>0.13</v>
      </c>
      <c r="AI34" s="164">
        <v>0.08</v>
      </c>
      <c r="AJ34" s="164">
        <v>0.14000000000000001</v>
      </c>
    </row>
    <row r="35" spans="17:36" ht="42" thickTop="1">
      <c r="Q35" s="138" t="s">
        <v>57</v>
      </c>
      <c r="R35" s="139">
        <v>0.151</v>
      </c>
      <c r="S35" s="139">
        <v>0.11700000000000001</v>
      </c>
      <c r="T35" s="139">
        <v>0.11700000000000001</v>
      </c>
      <c r="U35" s="139">
        <v>0.14799999999999999</v>
      </c>
      <c r="V35" s="139">
        <v>0.14399999999999999</v>
      </c>
      <c r="W35" s="139">
        <v>0.123</v>
      </c>
      <c r="X35" s="139">
        <v>0.11899999999999999</v>
      </c>
      <c r="Y35" s="139">
        <v>0.123</v>
      </c>
    </row>
    <row r="36" spans="17:36" ht="55.2">
      <c r="Q36" s="140" t="s">
        <v>749</v>
      </c>
      <c r="R36" s="142">
        <v>0.03</v>
      </c>
      <c r="S36" s="142">
        <v>2.3E-2</v>
      </c>
      <c r="T36" s="142">
        <v>2.5999999999999999E-2</v>
      </c>
      <c r="U36" s="141" t="s">
        <v>741</v>
      </c>
      <c r="V36" s="142">
        <v>2.7E-2</v>
      </c>
      <c r="W36" s="142">
        <v>2.7E-2</v>
      </c>
      <c r="X36" s="142">
        <v>2.9000000000000001E-2</v>
      </c>
      <c r="Y36" s="142">
        <v>0.03</v>
      </c>
    </row>
    <row r="37" spans="17:36" ht="69.599999999999994" thickBot="1">
      <c r="Q37" s="140" t="s">
        <v>66</v>
      </c>
      <c r="R37" s="142">
        <v>1.677</v>
      </c>
      <c r="S37" s="142">
        <v>1.7050000000000001</v>
      </c>
      <c r="T37" s="142">
        <v>1.6930000000000001</v>
      </c>
      <c r="U37" s="142">
        <v>1.609</v>
      </c>
      <c r="V37" s="142">
        <v>1.625</v>
      </c>
      <c r="W37" s="142">
        <v>1.492</v>
      </c>
      <c r="X37" s="142">
        <v>1.3180000000000001</v>
      </c>
      <c r="Y37" s="142">
        <v>1.2450000000000001</v>
      </c>
    </row>
    <row r="38" spans="17:36" ht="28.8" thickTop="1" thickBot="1">
      <c r="Q38" s="140" t="s">
        <v>73</v>
      </c>
      <c r="R38" s="141">
        <v>0.2</v>
      </c>
      <c r="S38" s="141">
        <v>0.2</v>
      </c>
      <c r="T38" s="141">
        <v>0.22</v>
      </c>
      <c r="U38" s="141" t="s">
        <v>741</v>
      </c>
      <c r="V38" s="141">
        <v>0.19</v>
      </c>
      <c r="W38" s="141">
        <v>0.22</v>
      </c>
      <c r="X38" s="141">
        <v>0.24</v>
      </c>
      <c r="Y38" s="141">
        <v>0.24</v>
      </c>
      <c r="AB38" s="161" t="s">
        <v>748</v>
      </c>
      <c r="AC38" s="161">
        <v>2024</v>
      </c>
      <c r="AD38" s="161">
        <v>2023</v>
      </c>
      <c r="AE38" s="161">
        <v>2022</v>
      </c>
      <c r="AF38" s="161">
        <v>2021</v>
      </c>
      <c r="AG38" s="161">
        <v>2020</v>
      </c>
      <c r="AH38" s="161">
        <v>2019</v>
      </c>
      <c r="AI38" s="161">
        <v>2018</v>
      </c>
      <c r="AJ38" s="161">
        <v>2017</v>
      </c>
    </row>
    <row r="39" spans="17:36" ht="27.6">
      <c r="Q39" s="140" t="s">
        <v>80</v>
      </c>
      <c r="R39" s="141">
        <v>0.44</v>
      </c>
      <c r="S39" s="141">
        <v>0.53</v>
      </c>
      <c r="T39" s="141">
        <v>0.51</v>
      </c>
      <c r="U39" s="141">
        <v>0.63</v>
      </c>
      <c r="V39" s="141">
        <v>0.44</v>
      </c>
      <c r="W39" s="141">
        <v>0.4</v>
      </c>
      <c r="X39" s="141">
        <v>0.48</v>
      </c>
      <c r="Y39" s="141">
        <v>0.51</v>
      </c>
      <c r="AB39" s="165" t="s">
        <v>750</v>
      </c>
      <c r="AC39" s="155">
        <v>7.89</v>
      </c>
      <c r="AD39" s="155">
        <v>8.16</v>
      </c>
      <c r="AE39" s="155">
        <v>8.74</v>
      </c>
      <c r="AF39" s="155">
        <v>8.19</v>
      </c>
      <c r="AG39" s="155">
        <v>7.9</v>
      </c>
      <c r="AH39" s="155">
        <v>7.87</v>
      </c>
      <c r="AI39" s="155">
        <v>7.6</v>
      </c>
      <c r="AJ39" s="155">
        <v>7.13</v>
      </c>
    </row>
    <row r="40" spans="17:36" ht="32.4">
      <c r="Q40" s="140" t="s">
        <v>81</v>
      </c>
      <c r="R40" s="141">
        <v>0.31</v>
      </c>
      <c r="S40" s="141">
        <v>0.36</v>
      </c>
      <c r="T40" s="141">
        <v>0.41</v>
      </c>
      <c r="U40" s="141">
        <v>0.55000000000000004</v>
      </c>
      <c r="V40" s="141">
        <v>0.31</v>
      </c>
      <c r="W40" s="141">
        <v>0.28000000000000003</v>
      </c>
      <c r="X40" s="141">
        <v>0.37</v>
      </c>
      <c r="Y40" s="141">
        <v>0.4</v>
      </c>
      <c r="AB40" s="165" t="s">
        <v>751</v>
      </c>
      <c r="AC40" s="157">
        <v>46.42</v>
      </c>
      <c r="AD40" s="157">
        <v>44.86</v>
      </c>
      <c r="AE40" s="157">
        <v>41.86</v>
      </c>
      <c r="AF40" s="157">
        <v>44.68</v>
      </c>
      <c r="AG40" s="157">
        <v>46.35</v>
      </c>
      <c r="AH40" s="157">
        <v>46.52</v>
      </c>
      <c r="AI40" s="157">
        <v>48.15</v>
      </c>
      <c r="AJ40" s="157">
        <v>51.36</v>
      </c>
    </row>
    <row r="41" spans="17:36" ht="55.2">
      <c r="Q41" s="140" t="s">
        <v>84</v>
      </c>
      <c r="R41" s="141">
        <v>6.47</v>
      </c>
      <c r="S41" s="141">
        <v>6.28</v>
      </c>
      <c r="T41" s="141">
        <v>4.32</v>
      </c>
      <c r="U41" s="141">
        <v>3.57</v>
      </c>
      <c r="V41" s="141">
        <v>3</v>
      </c>
      <c r="W41" s="141">
        <v>5.55</v>
      </c>
      <c r="X41" s="141">
        <v>6.19</v>
      </c>
      <c r="Y41" s="141">
        <v>6.14</v>
      </c>
      <c r="AB41" s="165" t="s">
        <v>86</v>
      </c>
      <c r="AC41" s="155">
        <v>4.0599999999999996</v>
      </c>
      <c r="AD41" s="155">
        <v>4.26</v>
      </c>
      <c r="AE41" s="155">
        <v>4.88</v>
      </c>
      <c r="AF41" s="155">
        <v>5.36</v>
      </c>
      <c r="AG41" s="155">
        <v>4.74</v>
      </c>
      <c r="AH41" s="155">
        <v>4.71</v>
      </c>
      <c r="AI41" s="155">
        <v>5.34</v>
      </c>
      <c r="AJ41" s="155">
        <v>4.76</v>
      </c>
    </row>
    <row r="42" spans="17:36" ht="43.2">
      <c r="Q42" s="140" t="s">
        <v>86</v>
      </c>
      <c r="R42" s="141">
        <v>5.9</v>
      </c>
      <c r="S42" s="141">
        <v>5.24</v>
      </c>
      <c r="T42" s="141">
        <v>3.81</v>
      </c>
      <c r="U42" s="141">
        <v>3.49</v>
      </c>
      <c r="V42" s="141">
        <v>3.58</v>
      </c>
      <c r="W42" s="141">
        <v>7.57</v>
      </c>
      <c r="X42" s="141">
        <v>8.15</v>
      </c>
      <c r="Y42" s="141">
        <v>7.86</v>
      </c>
      <c r="AB42" s="165" t="s">
        <v>87</v>
      </c>
      <c r="AC42" s="157">
        <v>90.23</v>
      </c>
      <c r="AD42" s="157">
        <v>85.85</v>
      </c>
      <c r="AE42" s="157">
        <v>75</v>
      </c>
      <c r="AF42" s="157">
        <v>68.23</v>
      </c>
      <c r="AG42" s="157">
        <v>77.180000000000007</v>
      </c>
      <c r="AH42" s="157">
        <v>77.63</v>
      </c>
      <c r="AI42" s="157">
        <v>68.56</v>
      </c>
      <c r="AJ42" s="157">
        <v>76.900000000000006</v>
      </c>
    </row>
    <row r="43" spans="17:36" ht="21.6">
      <c r="Q43" s="137"/>
      <c r="R43" s="137"/>
      <c r="S43" s="137"/>
      <c r="T43" s="137"/>
      <c r="U43" s="137"/>
      <c r="V43" s="137"/>
      <c r="W43" s="137"/>
      <c r="X43" s="137"/>
      <c r="Y43" s="137"/>
      <c r="AB43" s="165" t="s">
        <v>88</v>
      </c>
      <c r="AC43" s="155">
        <v>11.23</v>
      </c>
      <c r="AD43" s="155">
        <v>13.09</v>
      </c>
      <c r="AE43" s="155">
        <v>17.53</v>
      </c>
      <c r="AF43" s="155">
        <v>16.45</v>
      </c>
      <c r="AG43" s="155">
        <v>14.53</v>
      </c>
      <c r="AH43" s="155">
        <v>17.43</v>
      </c>
      <c r="AI43" s="155">
        <v>19.600000000000001</v>
      </c>
      <c r="AJ43" s="155">
        <v>11.13</v>
      </c>
    </row>
    <row r="44" spans="17:36" ht="42" thickBot="1">
      <c r="Q44" s="138" t="s">
        <v>57</v>
      </c>
      <c r="R44" s="139">
        <v>0.152</v>
      </c>
      <c r="S44" s="139">
        <v>0.14899999999999999</v>
      </c>
      <c r="T44" s="139">
        <v>0.13100000000000001</v>
      </c>
      <c r="U44" s="139">
        <v>0.151</v>
      </c>
      <c r="V44" s="139">
        <v>4.7E-2</v>
      </c>
      <c r="W44" s="139">
        <v>0.14299999999999999</v>
      </c>
      <c r="X44" s="139">
        <v>0.108</v>
      </c>
      <c r="Y44" s="139">
        <v>0.126</v>
      </c>
      <c r="AB44" s="166" t="s">
        <v>89</v>
      </c>
      <c r="AC44" s="159">
        <v>32.590000000000003</v>
      </c>
      <c r="AD44" s="159">
        <v>27.96</v>
      </c>
      <c r="AE44" s="159">
        <v>20.88</v>
      </c>
      <c r="AF44" s="159">
        <v>22.24</v>
      </c>
      <c r="AG44" s="159">
        <v>25.19</v>
      </c>
      <c r="AH44" s="159">
        <v>21</v>
      </c>
      <c r="AI44" s="159">
        <v>18.670000000000002</v>
      </c>
      <c r="AJ44" s="159">
        <v>32.9</v>
      </c>
    </row>
    <row r="45" spans="17:36" ht="55.8" thickTop="1">
      <c r="Q45" s="140" t="s">
        <v>739</v>
      </c>
      <c r="R45" s="142">
        <v>2.5000000000000001E-2</v>
      </c>
      <c r="S45" s="142">
        <v>2.4E-2</v>
      </c>
      <c r="T45" s="142">
        <v>2.1999999999999999E-2</v>
      </c>
      <c r="U45" s="142">
        <v>2.1999999999999999E-2</v>
      </c>
      <c r="V45" s="142">
        <v>7.0000000000000001E-3</v>
      </c>
      <c r="W45" s="142">
        <v>2.4E-2</v>
      </c>
      <c r="X45" s="142">
        <v>1.9E-2</v>
      </c>
      <c r="Y45" s="142">
        <v>2.1999999999999999E-2</v>
      </c>
      <c r="AB45" s="167" t="s">
        <v>752</v>
      </c>
    </row>
    <row r="46" spans="17:36" ht="69.599999999999994" thickBot="1">
      <c r="Q46" s="140" t="s">
        <v>66</v>
      </c>
      <c r="R46" s="142">
        <v>1.6439999999999999</v>
      </c>
      <c r="S46" s="142">
        <v>1.585</v>
      </c>
      <c r="T46" s="142">
        <v>1.421</v>
      </c>
      <c r="U46" s="142">
        <v>1.3129999999999999</v>
      </c>
      <c r="V46" s="142">
        <v>1.276</v>
      </c>
      <c r="W46" s="142">
        <v>1.278</v>
      </c>
      <c r="X46" s="142">
        <v>1.3220000000000001</v>
      </c>
      <c r="Y46" s="142">
        <v>1.304</v>
      </c>
    </row>
    <row r="47" spans="17:36" ht="28.8" thickTop="1" thickBot="1">
      <c r="Q47" s="140" t="s">
        <v>73</v>
      </c>
      <c r="R47" s="141">
        <v>0.17</v>
      </c>
      <c r="S47" s="141">
        <v>0.16</v>
      </c>
      <c r="T47" s="141">
        <v>0.17</v>
      </c>
      <c r="U47" s="141">
        <v>0.15</v>
      </c>
      <c r="V47" s="141">
        <v>0.15</v>
      </c>
      <c r="W47" s="141">
        <v>0.16</v>
      </c>
      <c r="X47" s="141">
        <v>0.17</v>
      </c>
      <c r="Y47" s="141">
        <v>0.17</v>
      </c>
      <c r="AB47" s="161" t="s">
        <v>748</v>
      </c>
      <c r="AC47" s="161">
        <v>2024</v>
      </c>
      <c r="AD47" s="161">
        <v>2023</v>
      </c>
      <c r="AE47" s="161">
        <v>2022</v>
      </c>
      <c r="AF47" s="161">
        <v>2021</v>
      </c>
      <c r="AG47" s="161">
        <v>2020</v>
      </c>
      <c r="AH47" s="161">
        <v>2019</v>
      </c>
      <c r="AI47" s="161">
        <v>2018</v>
      </c>
      <c r="AJ47" s="161">
        <v>2017</v>
      </c>
    </row>
    <row r="48" spans="17:36" ht="27.6">
      <c r="Q48" s="140" t="s">
        <v>80</v>
      </c>
      <c r="R48" s="141">
        <v>0.67</v>
      </c>
      <c r="S48" s="141">
        <v>0.74</v>
      </c>
      <c r="T48" s="141">
        <v>0.7</v>
      </c>
      <c r="U48" s="141">
        <v>0.62</v>
      </c>
      <c r="V48" s="141">
        <v>0.53</v>
      </c>
      <c r="W48" s="141">
        <v>0.62</v>
      </c>
      <c r="X48" s="141">
        <v>0.65</v>
      </c>
      <c r="Y48" s="141">
        <v>0.68</v>
      </c>
      <c r="AB48" s="165" t="s">
        <v>750</v>
      </c>
      <c r="AC48" s="155">
        <v>7.89</v>
      </c>
      <c r="AD48" s="155">
        <v>8.16</v>
      </c>
      <c r="AE48" s="155">
        <v>8.74</v>
      </c>
      <c r="AF48" s="155">
        <v>8.19</v>
      </c>
      <c r="AG48" s="155">
        <v>7.9</v>
      </c>
      <c r="AH48" s="155">
        <v>7.87</v>
      </c>
      <c r="AI48" s="155">
        <v>7.6</v>
      </c>
      <c r="AJ48" s="155">
        <v>7.13</v>
      </c>
    </row>
    <row r="49" spans="17:36" ht="32.4">
      <c r="Q49" s="140" t="s">
        <v>81</v>
      </c>
      <c r="R49" s="141">
        <v>0.44</v>
      </c>
      <c r="S49" s="141">
        <v>0.49</v>
      </c>
      <c r="T49" s="141">
        <v>0.51</v>
      </c>
      <c r="U49" s="141">
        <v>0.42</v>
      </c>
      <c r="V49" s="141">
        <v>0.34</v>
      </c>
      <c r="W49" s="141">
        <v>0.4</v>
      </c>
      <c r="X49" s="141">
        <v>0.44</v>
      </c>
      <c r="Y49" s="141">
        <v>0.42</v>
      </c>
      <c r="AB49" s="165" t="s">
        <v>751</v>
      </c>
      <c r="AC49" s="157">
        <v>46.42</v>
      </c>
      <c r="AD49" s="157">
        <v>44.86</v>
      </c>
      <c r="AE49" s="157">
        <v>41.86</v>
      </c>
      <c r="AF49" s="157">
        <v>44.68</v>
      </c>
      <c r="AG49" s="157">
        <v>46.35</v>
      </c>
      <c r="AH49" s="157">
        <v>46.52</v>
      </c>
      <c r="AI49" s="157">
        <v>48.15</v>
      </c>
      <c r="AJ49" s="157">
        <v>51.36</v>
      </c>
    </row>
    <row r="50" spans="17:36" ht="55.2">
      <c r="Q50" s="140" t="s">
        <v>84</v>
      </c>
      <c r="R50" s="141">
        <v>6.9</v>
      </c>
      <c r="S50" s="141">
        <v>6.8</v>
      </c>
      <c r="T50" s="141">
        <v>7.17</v>
      </c>
      <c r="U50" s="141">
        <v>7.28</v>
      </c>
      <c r="V50" s="141">
        <v>7.52</v>
      </c>
      <c r="W50" s="141">
        <v>8.1</v>
      </c>
      <c r="X50" s="141">
        <v>8.3000000000000007</v>
      </c>
      <c r="Y50" s="141">
        <v>8.6999999999999993</v>
      </c>
      <c r="AB50" s="165" t="s">
        <v>86</v>
      </c>
      <c r="AC50" s="155">
        <v>4.0599999999999996</v>
      </c>
      <c r="AD50" s="155">
        <v>4.26</v>
      </c>
      <c r="AE50" s="155">
        <v>4.88</v>
      </c>
      <c r="AF50" s="155">
        <v>5.36</v>
      </c>
      <c r="AG50" s="155">
        <v>4.74</v>
      </c>
      <c r="AH50" s="155">
        <v>4.71</v>
      </c>
      <c r="AI50" s="155">
        <v>5.34</v>
      </c>
      <c r="AJ50" s="155">
        <v>4.76</v>
      </c>
    </row>
    <row r="51" spans="17:36" ht="43.2">
      <c r="Q51" s="140" t="s">
        <v>86</v>
      </c>
      <c r="R51" s="141">
        <v>4.32</v>
      </c>
      <c r="S51" s="141">
        <v>4.57</v>
      </c>
      <c r="T51" s="141">
        <v>4.9800000000000004</v>
      </c>
      <c r="U51" s="141">
        <v>5.15</v>
      </c>
      <c r="V51" s="141">
        <v>4.9800000000000004</v>
      </c>
      <c r="W51" s="141">
        <v>5.18</v>
      </c>
      <c r="X51" s="141">
        <v>5.53</v>
      </c>
      <c r="Y51" s="141">
        <v>5.45</v>
      </c>
      <c r="AB51" s="165" t="s">
        <v>87</v>
      </c>
      <c r="AC51" s="157">
        <v>90.23</v>
      </c>
      <c r="AD51" s="157">
        <v>85.85</v>
      </c>
      <c r="AE51" s="157">
        <v>75</v>
      </c>
      <c r="AF51" s="157">
        <v>68.23</v>
      </c>
      <c r="AG51" s="157">
        <v>77.180000000000007</v>
      </c>
      <c r="AH51" s="157">
        <v>77.63</v>
      </c>
      <c r="AI51" s="157">
        <v>68.56</v>
      </c>
      <c r="AJ51" s="157">
        <v>76.900000000000006</v>
      </c>
    </row>
    <row r="52" spans="17:36" ht="21.6">
      <c r="Q52" s="137"/>
      <c r="R52" s="137"/>
      <c r="S52" s="137"/>
      <c r="T52" s="137"/>
      <c r="U52" s="137"/>
      <c r="V52" s="137"/>
      <c r="W52" s="137"/>
      <c r="X52" s="137"/>
      <c r="Y52" s="137"/>
      <c r="AB52" s="165" t="s">
        <v>88</v>
      </c>
      <c r="AC52" s="155">
        <v>11.23</v>
      </c>
      <c r="AD52" s="155">
        <v>13.09</v>
      </c>
      <c r="AE52" s="155">
        <v>17.53</v>
      </c>
      <c r="AF52" s="155">
        <v>16.45</v>
      </c>
      <c r="AG52" s="155">
        <v>14.53</v>
      </c>
      <c r="AH52" s="155">
        <v>17.43</v>
      </c>
      <c r="AI52" s="155">
        <v>19.600000000000001</v>
      </c>
      <c r="AJ52" s="155">
        <v>11.13</v>
      </c>
    </row>
    <row r="53" spans="17:36" ht="33" thickBot="1">
      <c r="Q53" s="137"/>
      <c r="R53" s="137"/>
      <c r="S53" s="137"/>
      <c r="T53" s="137"/>
      <c r="U53" s="137"/>
      <c r="V53" s="137"/>
      <c r="W53" s="137"/>
      <c r="X53" s="137"/>
      <c r="Y53" s="137"/>
      <c r="AB53" s="166" t="s">
        <v>89</v>
      </c>
      <c r="AC53" s="159">
        <v>32.590000000000003</v>
      </c>
      <c r="AD53" s="159">
        <v>27.96</v>
      </c>
      <c r="AE53" s="159">
        <v>20.88</v>
      </c>
      <c r="AF53" s="159">
        <v>22.24</v>
      </c>
      <c r="AG53" s="159">
        <v>25.19</v>
      </c>
      <c r="AH53" s="159">
        <v>21</v>
      </c>
      <c r="AI53" s="159">
        <v>18.670000000000002</v>
      </c>
      <c r="AJ53" s="159">
        <v>32.9</v>
      </c>
    </row>
    <row r="54" spans="17:36" ht="42" thickTop="1">
      <c r="Q54" s="138" t="s">
        <v>57</v>
      </c>
      <c r="R54" s="139">
        <v>0.17199999999999999</v>
      </c>
      <c r="S54" s="139">
        <v>0.22800000000000001</v>
      </c>
      <c r="T54" s="139">
        <v>0.105</v>
      </c>
      <c r="U54" s="143">
        <v>-6.7000000000000004E-2</v>
      </c>
      <c r="V54" s="139">
        <v>0.19800000000000001</v>
      </c>
      <c r="W54" s="139">
        <v>0.16800000000000001</v>
      </c>
      <c r="X54" s="139">
        <v>0.14799999999999999</v>
      </c>
      <c r="Y54" s="139">
        <v>9.0999999999999998E-2</v>
      </c>
    </row>
    <row r="55" spans="17:36" ht="55.2">
      <c r="Q55" s="140" t="s">
        <v>739</v>
      </c>
      <c r="R55" s="142">
        <v>3.4000000000000002E-2</v>
      </c>
      <c r="S55" s="142">
        <v>5.1999999999999998E-2</v>
      </c>
      <c r="T55" s="142">
        <v>2.1000000000000001E-2</v>
      </c>
      <c r="U55" s="144">
        <v>-1.2999999999999999E-2</v>
      </c>
      <c r="V55" s="142">
        <v>3.9E-2</v>
      </c>
      <c r="W55" s="142">
        <v>3.5999999999999997E-2</v>
      </c>
      <c r="X55" s="142">
        <v>3.3000000000000002E-2</v>
      </c>
      <c r="Y55" s="142">
        <v>0.02</v>
      </c>
    </row>
    <row r="56" spans="17:36" ht="69">
      <c r="Q56" s="140" t="s">
        <v>66</v>
      </c>
      <c r="R56" s="142">
        <v>1.409</v>
      </c>
      <c r="S56" s="142">
        <v>1.3069999999999999</v>
      </c>
      <c r="T56" s="142">
        <v>1.476</v>
      </c>
      <c r="U56" s="142">
        <v>1.3460000000000001</v>
      </c>
      <c r="V56" s="142">
        <v>1.079</v>
      </c>
      <c r="W56" s="142">
        <v>1.075</v>
      </c>
      <c r="X56" s="142">
        <v>1.077</v>
      </c>
      <c r="Y56" s="142">
        <v>0.98299999999999998</v>
      </c>
    </row>
    <row r="57" spans="17:36" ht="27.6">
      <c r="Q57" s="140" t="s">
        <v>73</v>
      </c>
      <c r="R57" s="141">
        <v>0.2</v>
      </c>
      <c r="S57" s="141">
        <v>0.23</v>
      </c>
      <c r="T57" s="141">
        <v>0.2</v>
      </c>
      <c r="U57" s="141" t="s">
        <v>741</v>
      </c>
      <c r="V57" s="141">
        <v>0.2</v>
      </c>
      <c r="W57" s="141">
        <v>0.22</v>
      </c>
      <c r="X57" s="141">
        <v>0.22</v>
      </c>
      <c r="Y57" s="141">
        <v>0.22</v>
      </c>
    </row>
    <row r="58" spans="17:36" ht="27.6">
      <c r="Q58" s="140" t="s">
        <v>80</v>
      </c>
      <c r="R58" s="141">
        <v>0.65</v>
      </c>
      <c r="S58" s="141">
        <v>0.67</v>
      </c>
      <c r="T58" s="141">
        <v>0.64</v>
      </c>
      <c r="U58" s="141">
        <v>0.88</v>
      </c>
      <c r="V58" s="141">
        <v>0.66</v>
      </c>
      <c r="W58" s="141">
        <v>0.64</v>
      </c>
      <c r="X58" s="141">
        <v>0.71</v>
      </c>
      <c r="Y58" s="141">
        <v>0.79</v>
      </c>
    </row>
    <row r="59" spans="17:36" ht="27.6">
      <c r="Q59" s="140" t="s">
        <v>81</v>
      </c>
      <c r="R59" s="141">
        <v>0.48</v>
      </c>
      <c r="S59" s="141">
        <v>0.46</v>
      </c>
      <c r="T59" s="141">
        <v>0.5</v>
      </c>
      <c r="U59" s="141">
        <v>0.78</v>
      </c>
      <c r="V59" s="141">
        <v>0.5</v>
      </c>
      <c r="W59" s="141">
        <v>0.46</v>
      </c>
      <c r="X59" s="141">
        <v>0.53</v>
      </c>
      <c r="Y59" s="141">
        <v>0.59</v>
      </c>
    </row>
    <row r="60" spans="17:36" ht="55.2">
      <c r="Q60" s="140" t="s">
        <v>84</v>
      </c>
      <c r="R60" s="141">
        <v>5.09</v>
      </c>
      <c r="S60" s="141">
        <v>5.51</v>
      </c>
      <c r="T60" s="141">
        <v>4.42</v>
      </c>
      <c r="U60" s="141" t="s">
        <v>741</v>
      </c>
      <c r="V60" s="141">
        <v>5.86</v>
      </c>
      <c r="W60" s="141">
        <v>5.77</v>
      </c>
      <c r="X60" s="141">
        <v>5.26</v>
      </c>
      <c r="Y60" s="141">
        <v>5.56</v>
      </c>
    </row>
    <row r="61" spans="17:36" ht="27.6">
      <c r="Q61" s="140" t="s">
        <v>86</v>
      </c>
      <c r="R61" s="141">
        <v>6.72</v>
      </c>
      <c r="S61" s="141">
        <v>6.06</v>
      </c>
      <c r="T61" s="141">
        <v>6.39</v>
      </c>
      <c r="U61" s="141">
        <v>5.98</v>
      </c>
      <c r="V61" s="141">
        <v>5.52</v>
      </c>
      <c r="W61" s="141">
        <v>5.5</v>
      </c>
      <c r="X61" s="141">
        <v>4.7</v>
      </c>
      <c r="Y61" s="141">
        <v>4.8600000000000003</v>
      </c>
    </row>
    <row r="62" spans="17:36">
      <c r="Q62" s="140" t="s">
        <v>741</v>
      </c>
      <c r="R62" s="141" t="s">
        <v>741</v>
      </c>
      <c r="S62" s="141" t="s">
        <v>741</v>
      </c>
      <c r="T62" s="141" t="s">
        <v>741</v>
      </c>
      <c r="U62" s="141" t="s">
        <v>741</v>
      </c>
      <c r="V62" s="141" t="s">
        <v>741</v>
      </c>
      <c r="W62" s="141" t="s">
        <v>741</v>
      </c>
      <c r="X62" s="141" t="s">
        <v>741</v>
      </c>
      <c r="Y62" s="141" t="s">
        <v>741</v>
      </c>
    </row>
    <row r="63" spans="17:36" ht="41.4">
      <c r="Q63" s="140" t="s">
        <v>57</v>
      </c>
      <c r="R63" s="142">
        <v>0.13</v>
      </c>
      <c r="S63" s="142">
        <v>0.15</v>
      </c>
      <c r="T63" s="142">
        <v>3.5999999999999997E-2</v>
      </c>
      <c r="U63" s="142">
        <v>0.18099999999999999</v>
      </c>
      <c r="V63" s="142">
        <v>9.4E-2</v>
      </c>
      <c r="W63" s="142">
        <v>4.5999999999999999E-2</v>
      </c>
      <c r="X63" s="142">
        <v>0.191</v>
      </c>
      <c r="Y63" s="142">
        <v>0.18</v>
      </c>
    </row>
    <row r="64" spans="17:36" ht="55.2">
      <c r="Q64" s="140" t="s">
        <v>739</v>
      </c>
      <c r="R64" s="142">
        <v>1.7999999999999999E-2</v>
      </c>
      <c r="S64" s="142">
        <v>0.02</v>
      </c>
      <c r="T64" s="142">
        <v>5.0000000000000001E-3</v>
      </c>
      <c r="U64" s="142">
        <v>2.1000000000000001E-2</v>
      </c>
      <c r="V64" s="142">
        <v>1.2999999999999999E-2</v>
      </c>
      <c r="W64" s="142">
        <v>7.0000000000000001E-3</v>
      </c>
      <c r="X64" s="142">
        <v>2.8000000000000001E-2</v>
      </c>
      <c r="Y64" s="142">
        <v>3.1E-2</v>
      </c>
    </row>
    <row r="65" spans="17:25" ht="69">
      <c r="Q65" s="140" t="s">
        <v>66</v>
      </c>
      <c r="R65" s="142">
        <v>1.383</v>
      </c>
      <c r="S65" s="142">
        <v>1.605</v>
      </c>
      <c r="T65" s="142">
        <v>1.4950000000000001</v>
      </c>
      <c r="U65" s="142">
        <v>1.403</v>
      </c>
      <c r="V65" s="142">
        <v>1.399</v>
      </c>
      <c r="W65" s="142">
        <v>0.94899999999999995</v>
      </c>
      <c r="X65" s="142">
        <v>1.595</v>
      </c>
      <c r="Y65" s="142">
        <v>1.927</v>
      </c>
    </row>
    <row r="66" spans="17:25" ht="27.6">
      <c r="Q66" s="140" t="s">
        <v>73</v>
      </c>
      <c r="R66" s="141">
        <v>0.14000000000000001</v>
      </c>
      <c r="S66" s="141">
        <v>0.13</v>
      </c>
      <c r="T66" s="141">
        <v>0.14000000000000001</v>
      </c>
      <c r="U66" s="141">
        <v>0.12</v>
      </c>
      <c r="V66" s="141">
        <v>0.14000000000000001</v>
      </c>
      <c r="W66" s="141">
        <v>0.16</v>
      </c>
      <c r="X66" s="141">
        <v>0.14000000000000001</v>
      </c>
      <c r="Y66" s="141">
        <v>0.17</v>
      </c>
    </row>
    <row r="67" spans="17:25" ht="27.6">
      <c r="Q67" s="140" t="s">
        <v>80</v>
      </c>
      <c r="R67" s="141">
        <v>0.87</v>
      </c>
      <c r="S67" s="141">
        <v>0.82</v>
      </c>
      <c r="T67" s="141">
        <v>0.69</v>
      </c>
      <c r="U67" s="141">
        <v>0.87</v>
      </c>
      <c r="V67" s="141">
        <v>0.98</v>
      </c>
      <c r="W67" s="141">
        <v>0.85</v>
      </c>
      <c r="X67" s="141">
        <v>1.17</v>
      </c>
      <c r="Y67" s="141">
        <v>1.1000000000000001</v>
      </c>
    </row>
    <row r="68" spans="17:25" ht="27.6">
      <c r="Q68" s="140" t="s">
        <v>81</v>
      </c>
      <c r="R68" s="141">
        <v>0.78</v>
      </c>
      <c r="S68" s="141">
        <v>0.74</v>
      </c>
      <c r="T68" s="141">
        <v>0.62</v>
      </c>
      <c r="U68" s="141">
        <v>0.75</v>
      </c>
      <c r="V68" s="141">
        <v>0.85</v>
      </c>
      <c r="W68" s="141">
        <v>0.72</v>
      </c>
      <c r="X68" s="141">
        <v>1.02</v>
      </c>
      <c r="Y68" s="141">
        <v>0.95</v>
      </c>
    </row>
    <row r="69" spans="17:25" ht="55.2">
      <c r="Q69" s="140" t="s">
        <v>84</v>
      </c>
      <c r="R69" s="141">
        <v>5.74</v>
      </c>
      <c r="S69" s="141">
        <v>5.71</v>
      </c>
      <c r="T69" s="141">
        <v>5.47</v>
      </c>
      <c r="U69" s="141">
        <v>4.5</v>
      </c>
      <c r="V69" s="141">
        <v>5.75</v>
      </c>
      <c r="W69" s="141">
        <v>6.39</v>
      </c>
      <c r="X69" s="141">
        <v>5.79</v>
      </c>
      <c r="Y69" s="141">
        <v>7.21</v>
      </c>
    </row>
    <row r="70" spans="17:25" ht="27.6">
      <c r="Q70" s="140" t="s">
        <v>86</v>
      </c>
      <c r="R70" s="141">
        <v>9.5500000000000007</v>
      </c>
      <c r="S70" s="141">
        <v>9.61</v>
      </c>
      <c r="T70" s="141">
        <v>8.48</v>
      </c>
      <c r="U70" s="141">
        <v>7.59</v>
      </c>
      <c r="V70" s="141">
        <v>9.26</v>
      </c>
      <c r="W70" s="141">
        <v>10.29</v>
      </c>
      <c r="X70" s="141">
        <v>8.76</v>
      </c>
      <c r="Y70" s="141">
        <v>8.59</v>
      </c>
    </row>
    <row r="71" spans="17:25">
      <c r="Q71" s="137"/>
      <c r="R71" s="137"/>
      <c r="S71" s="137"/>
      <c r="T71" s="137"/>
      <c r="U71" s="137"/>
      <c r="V71" s="137"/>
      <c r="W71" s="137"/>
      <c r="X71" s="137"/>
      <c r="Y71" s="137"/>
    </row>
    <row r="72" spans="17:25" ht="41.4">
      <c r="Q72" s="138" t="s">
        <v>57</v>
      </c>
      <c r="R72" s="139">
        <v>0.107</v>
      </c>
      <c r="S72" s="139">
        <v>0.107</v>
      </c>
      <c r="T72" s="139">
        <v>0.108</v>
      </c>
      <c r="U72" s="139">
        <v>0.09</v>
      </c>
      <c r="V72" s="139">
        <v>6.6000000000000003E-2</v>
      </c>
      <c r="W72" s="139">
        <v>8.7999999999999995E-2</v>
      </c>
      <c r="X72" s="139">
        <v>5.8000000000000003E-2</v>
      </c>
      <c r="Y72" s="139">
        <v>0.115</v>
      </c>
    </row>
    <row r="73" spans="17:25" ht="55.2">
      <c r="Q73" s="140" t="s">
        <v>739</v>
      </c>
      <c r="R73" s="142">
        <v>2.4E-2</v>
      </c>
      <c r="S73" s="142">
        <v>2.4E-2</v>
      </c>
      <c r="T73" s="142">
        <v>1.7999999999999999E-2</v>
      </c>
      <c r="U73" s="142">
        <v>1.2E-2</v>
      </c>
      <c r="V73" s="142">
        <v>8.9999999999999993E-3</v>
      </c>
      <c r="W73" s="142">
        <v>2.5000000000000001E-2</v>
      </c>
      <c r="X73" s="142">
        <v>1.7999999999999999E-2</v>
      </c>
      <c r="Y73" s="142">
        <v>3.3000000000000002E-2</v>
      </c>
    </row>
    <row r="74" spans="17:25" ht="69">
      <c r="Q74" s="140" t="s">
        <v>66</v>
      </c>
      <c r="R74" s="142">
        <v>1.7330000000000001</v>
      </c>
      <c r="S74" s="142">
        <v>1.7090000000000001</v>
      </c>
      <c r="T74" s="142">
        <v>1.619</v>
      </c>
      <c r="U74" s="142">
        <v>1.2190000000000001</v>
      </c>
      <c r="V74" s="142">
        <v>1.1279999999999999</v>
      </c>
      <c r="W74" s="142">
        <v>1.093</v>
      </c>
      <c r="X74" s="142">
        <v>1.105</v>
      </c>
      <c r="Y74" s="142">
        <v>1.1060000000000001</v>
      </c>
    </row>
    <row r="75" spans="17:25" ht="27.6">
      <c r="Q75" s="140" t="s">
        <v>73</v>
      </c>
      <c r="R75" s="141">
        <v>0.22</v>
      </c>
      <c r="S75" s="141">
        <v>0.22</v>
      </c>
      <c r="T75" s="141">
        <v>0.17</v>
      </c>
      <c r="U75" s="141">
        <v>0.14000000000000001</v>
      </c>
      <c r="V75" s="141">
        <v>0.13</v>
      </c>
      <c r="W75" s="141">
        <v>0.28000000000000003</v>
      </c>
      <c r="X75" s="141">
        <v>0.3</v>
      </c>
      <c r="Y75" s="141">
        <v>0.28999999999999998</v>
      </c>
    </row>
    <row r="76" spans="17:25" ht="27.6">
      <c r="Q76" s="140" t="s">
        <v>80</v>
      </c>
      <c r="R76" s="141">
        <v>0.87</v>
      </c>
      <c r="S76" s="141">
        <v>0.82</v>
      </c>
      <c r="T76" s="141">
        <v>0.69</v>
      </c>
      <c r="U76" s="141">
        <v>0.87</v>
      </c>
      <c r="V76" s="141">
        <v>0.98</v>
      </c>
      <c r="W76" s="141">
        <v>0.85</v>
      </c>
      <c r="X76" s="141">
        <v>1.17</v>
      </c>
      <c r="Y76" s="141">
        <v>1.1000000000000001</v>
      </c>
    </row>
    <row r="77" spans="17:25" ht="27.6">
      <c r="Q77" s="140" t="s">
        <v>81</v>
      </c>
      <c r="R77" s="141">
        <v>0.78</v>
      </c>
      <c r="S77" s="141">
        <v>0.74</v>
      </c>
      <c r="T77" s="141">
        <v>0.62</v>
      </c>
      <c r="U77" s="141">
        <v>0.75</v>
      </c>
      <c r="V77" s="141">
        <v>0.85</v>
      </c>
      <c r="W77" s="141">
        <v>0.72</v>
      </c>
      <c r="X77" s="141">
        <v>1.02</v>
      </c>
      <c r="Y77" s="141">
        <v>0.95</v>
      </c>
    </row>
    <row r="78" spans="17:25" ht="55.2">
      <c r="Q78" s="140" t="s">
        <v>84</v>
      </c>
      <c r="R78" s="141">
        <v>6.47</v>
      </c>
      <c r="S78" s="141">
        <v>6.28</v>
      </c>
      <c r="T78" s="141">
        <v>4.32</v>
      </c>
      <c r="U78" s="141">
        <v>3.57</v>
      </c>
      <c r="V78" s="141">
        <v>3</v>
      </c>
      <c r="W78" s="141">
        <v>5.55</v>
      </c>
      <c r="X78" s="141">
        <v>6.19</v>
      </c>
      <c r="Y78" s="141">
        <v>6.14</v>
      </c>
    </row>
    <row r="79" spans="17:25" ht="27.6">
      <c r="Q79" s="140" t="s">
        <v>86</v>
      </c>
      <c r="R79" s="141">
        <v>5.9</v>
      </c>
      <c r="S79" s="141">
        <v>5.24</v>
      </c>
      <c r="T79" s="141">
        <v>3.81</v>
      </c>
      <c r="U79" s="141">
        <v>3.49</v>
      </c>
      <c r="V79" s="141">
        <v>3.58</v>
      </c>
      <c r="W79" s="141">
        <v>7.57</v>
      </c>
      <c r="X79" s="141">
        <v>8.15</v>
      </c>
      <c r="Y79" s="141">
        <v>7.86</v>
      </c>
    </row>
    <row r="80" spans="17:25">
      <c r="Q80" s="137"/>
      <c r="R80" s="145" t="s">
        <v>753</v>
      </c>
      <c r="S80" s="146"/>
      <c r="T80" s="145" t="s">
        <v>741</v>
      </c>
      <c r="U80" s="137"/>
      <c r="V80" s="137"/>
      <c r="W80" s="137"/>
      <c r="X80" s="137"/>
      <c r="Y80" s="137"/>
    </row>
    <row r="81" spans="17:25" ht="41.4">
      <c r="Q81" s="147" t="s">
        <v>57</v>
      </c>
      <c r="R81" s="148">
        <v>0.152</v>
      </c>
      <c r="S81" s="148">
        <v>0.15</v>
      </c>
      <c r="T81" s="148">
        <v>0.11700000000000001</v>
      </c>
      <c r="U81" s="148">
        <v>0.14799999999999999</v>
      </c>
      <c r="V81" s="148">
        <v>0.13900000000000001</v>
      </c>
      <c r="W81" s="148">
        <v>0.14299999999999999</v>
      </c>
      <c r="X81" s="148">
        <v>0.11899999999999999</v>
      </c>
      <c r="Y81" s="148">
        <v>0.123</v>
      </c>
    </row>
    <row r="82" spans="17:25" ht="55.2">
      <c r="Q82" s="149" t="s">
        <v>739</v>
      </c>
      <c r="R82" s="148">
        <v>0.03</v>
      </c>
      <c r="S82" s="148">
        <v>2.4E-2</v>
      </c>
      <c r="T82" s="148">
        <v>2.1999999999999999E-2</v>
      </c>
      <c r="U82" s="148">
        <v>0.02</v>
      </c>
      <c r="V82" s="148">
        <v>0.02</v>
      </c>
      <c r="W82" s="148">
        <v>2.7E-2</v>
      </c>
      <c r="X82" s="148">
        <v>2.8000000000000001E-2</v>
      </c>
      <c r="Y82" s="148">
        <v>0.03</v>
      </c>
    </row>
    <row r="83" spans="17:25" ht="69">
      <c r="Q83" s="149" t="s">
        <v>66</v>
      </c>
      <c r="R83" s="148">
        <v>1.677</v>
      </c>
      <c r="S83" s="148">
        <v>1.7050000000000001</v>
      </c>
      <c r="T83" s="148">
        <v>1.619</v>
      </c>
      <c r="U83" s="148">
        <v>1.403</v>
      </c>
      <c r="V83" s="148">
        <v>1.399</v>
      </c>
      <c r="W83" s="148">
        <v>1.278</v>
      </c>
      <c r="X83" s="148">
        <v>1.3180000000000001</v>
      </c>
      <c r="Y83" s="148">
        <v>1.2450000000000001</v>
      </c>
    </row>
    <row r="84" spans="17:25" ht="27.6">
      <c r="Q84" s="149" t="s">
        <v>73</v>
      </c>
      <c r="R84" s="137">
        <v>0.2</v>
      </c>
      <c r="S84" s="137">
        <v>0.2</v>
      </c>
      <c r="T84" s="137">
        <v>0.2</v>
      </c>
      <c r="U84" s="137">
        <v>0.14499999999999999</v>
      </c>
      <c r="V84" s="137">
        <v>0.17</v>
      </c>
      <c r="W84" s="137">
        <v>0.22</v>
      </c>
      <c r="X84" s="137">
        <v>0.22</v>
      </c>
      <c r="Y84" s="137">
        <v>0.22</v>
      </c>
    </row>
    <row r="85" spans="17:25" ht="27.6">
      <c r="Q85" s="149" t="s">
        <v>80</v>
      </c>
      <c r="R85" s="137">
        <v>0.67</v>
      </c>
      <c r="S85" s="137">
        <v>0.74</v>
      </c>
      <c r="T85" s="137">
        <v>0.66</v>
      </c>
      <c r="U85" s="137">
        <v>0.82</v>
      </c>
      <c r="V85" s="137">
        <v>0.66</v>
      </c>
      <c r="W85" s="137">
        <v>0.64</v>
      </c>
      <c r="X85" s="137">
        <v>0.67</v>
      </c>
      <c r="Y85" s="137">
        <v>0.74</v>
      </c>
    </row>
    <row r="86" spans="17:25" ht="27.6">
      <c r="Q86" s="149" t="s">
        <v>81</v>
      </c>
      <c r="R86" s="137">
        <v>0.46</v>
      </c>
      <c r="S86" s="137">
        <v>0.49</v>
      </c>
      <c r="T86" s="137">
        <v>0.5</v>
      </c>
      <c r="U86" s="137">
        <v>0.57999999999999996</v>
      </c>
      <c r="V86" s="137">
        <v>0.5</v>
      </c>
      <c r="W86" s="137">
        <v>0.46</v>
      </c>
      <c r="X86" s="137">
        <v>0.5</v>
      </c>
      <c r="Y86" s="137">
        <v>0.55000000000000004</v>
      </c>
    </row>
    <row r="87" spans="17:25" ht="55.2">
      <c r="Q87" s="149" t="s">
        <v>84</v>
      </c>
      <c r="R87" s="137">
        <v>6.47</v>
      </c>
      <c r="S87" s="137">
        <v>6.28</v>
      </c>
      <c r="T87" s="137">
        <v>5.47</v>
      </c>
      <c r="U87" s="137">
        <v>4.5</v>
      </c>
      <c r="V87" s="137">
        <v>5.86</v>
      </c>
      <c r="W87" s="137">
        <v>5.77</v>
      </c>
      <c r="X87" s="137">
        <v>6.19</v>
      </c>
      <c r="Y87" s="137">
        <v>6.14</v>
      </c>
    </row>
    <row r="88" spans="17:25" ht="27.6">
      <c r="Q88" s="149" t="s">
        <v>86</v>
      </c>
      <c r="R88" s="137">
        <v>5.9</v>
      </c>
      <c r="S88" s="137">
        <v>5.63</v>
      </c>
      <c r="T88" s="137">
        <v>6.11</v>
      </c>
      <c r="U88" s="137">
        <v>5.5650000000000004</v>
      </c>
      <c r="V88" s="137">
        <v>5.22</v>
      </c>
      <c r="W88" s="137">
        <v>5.85</v>
      </c>
      <c r="X88" s="137">
        <v>6.24</v>
      </c>
      <c r="Y88" s="137">
        <v>5.85</v>
      </c>
    </row>
  </sheetData>
  <mergeCells count="7">
    <mergeCell ref="AB27:AB28"/>
    <mergeCell ref="AB15:AB16"/>
    <mergeCell ref="AB17:AB18"/>
    <mergeCell ref="AB19:AB20"/>
    <mergeCell ref="AB21:AB22"/>
    <mergeCell ref="AB23:AB24"/>
    <mergeCell ref="AB25:AB26"/>
  </mergeCells>
  <phoneticPr fontId="3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Financial Summary</vt:lpstr>
      <vt:lpstr>Income Statement</vt:lpstr>
      <vt:lpstr>Cash Flow</vt:lpstr>
      <vt:lpstr>Balance Sheet</vt:lpstr>
      <vt:lpstr>Valuation</vt:lpstr>
      <vt:lpstr>DCF</vt:lpstr>
      <vt:lpstr>DDM</vt:lpstr>
      <vt:lpstr>CCA</vt:lpstr>
      <vt:lpstr>Ratio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Ayuba Jimoh</dc:creator>
  <cp:keywords/>
  <dc:description/>
  <cp:lastModifiedBy>Ayuba Jimoh</cp:lastModifiedBy>
  <cp:revision/>
  <dcterms:created xsi:type="dcterms:W3CDTF">2025-11-14T21:03:55Z</dcterms:created>
  <dcterms:modified xsi:type="dcterms:W3CDTF">2026-05-03T13:34:20Z</dcterms:modified>
  <cp:category/>
  <cp:contentStatus/>
</cp:coreProperties>
</file>