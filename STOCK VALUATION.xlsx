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imoh\Desktop\Folder\McMaster\2ND TERM\FIN707\MID-TERM\WORK\"/>
    </mc:Choice>
  </mc:AlternateContent>
  <xr:revisionPtr revIDLastSave="0" documentId="13_ncr:1_{64807DE5-5B6C-4A07-B5DE-B5C757519FF6}" xr6:coauthVersionLast="47" xr6:coauthVersionMax="47" xr10:uidLastSave="{00000000-0000-0000-0000-000000000000}"/>
  <bookViews>
    <workbookView xWindow="-108" yWindow="-108" windowWidth="23256" windowHeight="13896" firstSheet="2" activeTab="8" xr2:uid="{00000000-000D-0000-FFFF-FFFF00000000}"/>
  </bookViews>
  <sheets>
    <sheet name="Balance Sheet" sheetId="2" r:id="rId1"/>
    <sheet name="Income Statement" sheetId="3" r:id="rId2"/>
    <sheet name="Cash Flow" sheetId="4" r:id="rId3"/>
    <sheet name="Financials" sheetId="7" r:id="rId4"/>
    <sheet name="Process_CSCF" sheetId="10" r:id="rId5"/>
    <sheet name="DCF_CSCF" sheetId="8" r:id="rId6"/>
    <sheet name="Process_Pro_Forma" sheetId="12" r:id="rId7"/>
    <sheet name="DCF_Pro_Forma" sheetId="11" r:id="rId8"/>
    <sheet name="CCA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3" l="1"/>
  <c r="B3" i="11"/>
  <c r="B42" i="13"/>
  <c r="C42" i="13"/>
  <c r="C45" i="13" s="1"/>
  <c r="B43" i="13"/>
  <c r="B44" i="13"/>
  <c r="B45" i="13"/>
  <c r="D46" i="13"/>
  <c r="B4" i="12" l="1" a="1"/>
  <c r="B4" i="12" s="1"/>
  <c r="B20" i="12" a="1"/>
  <c r="B20" i="12" s="1"/>
  <c r="B14" i="11" l="1"/>
  <c r="C9" i="10"/>
  <c r="C10" i="10"/>
  <c r="B7" i="8" s="1"/>
  <c r="B10" i="10"/>
  <c r="B15" i="13"/>
  <c r="B31" i="13"/>
  <c r="B16" i="13"/>
  <c r="B14" i="13"/>
  <c r="B6" i="11"/>
  <c r="B6" i="13" s="1"/>
  <c r="B5" i="11"/>
  <c r="B5" i="13" s="1"/>
  <c r="B4" i="13"/>
  <c r="B32" i="13"/>
  <c r="B33" i="13"/>
  <c r="C33" i="13"/>
  <c r="C32" i="13"/>
  <c r="C31" i="13"/>
  <c r="B46" i="13" l="1"/>
  <c r="C46" i="13"/>
  <c r="D29" i="11"/>
  <c r="C29" i="11"/>
  <c r="G29" i="11"/>
  <c r="F29" i="11"/>
  <c r="E29" i="11"/>
  <c r="L5" i="10" l="1"/>
  <c r="M5" i="10" s="1"/>
  <c r="D26" i="8" s="1"/>
  <c r="C27" i="12"/>
  <c r="D27" i="12"/>
  <c r="E27" i="12"/>
  <c r="F27" i="12"/>
  <c r="G27" i="12"/>
  <c r="H27" i="12"/>
  <c r="I27" i="12"/>
  <c r="J27" i="12"/>
  <c r="K27" i="12"/>
  <c r="B27" i="12"/>
  <c r="L12" i="10"/>
  <c r="B4" i="11"/>
  <c r="C42" i="12"/>
  <c r="D42" i="12"/>
  <c r="E42" i="12"/>
  <c r="F42" i="12"/>
  <c r="G42" i="12"/>
  <c r="H42" i="12"/>
  <c r="I42" i="12"/>
  <c r="J42" i="12"/>
  <c r="K42" i="12"/>
  <c r="B42" i="12"/>
  <c r="C35" i="12"/>
  <c r="D35" i="12"/>
  <c r="E35" i="12"/>
  <c r="F35" i="12"/>
  <c r="E36" i="12" s="1"/>
  <c r="G35" i="12"/>
  <c r="F36" i="12" s="1"/>
  <c r="H35" i="12"/>
  <c r="G36" i="12" s="1"/>
  <c r="I35" i="12"/>
  <c r="H36" i="12" s="1"/>
  <c r="J35" i="12"/>
  <c r="K35" i="12"/>
  <c r="B35" i="12"/>
  <c r="B12" i="12" a="1"/>
  <c r="B26" i="8"/>
  <c r="M7" i="10"/>
  <c r="N7" i="10" s="1"/>
  <c r="O7" i="10" s="1"/>
  <c r="P7" i="10" s="1"/>
  <c r="B4" i="10" a="1"/>
  <c r="B4" i="10" s="1"/>
  <c r="B3" i="10" a="1"/>
  <c r="B3" i="10" s="1"/>
  <c r="B5" i="10" s="1"/>
  <c r="I36" i="12" l="1"/>
  <c r="E28" i="12"/>
  <c r="D28" i="12"/>
  <c r="I28" i="12"/>
  <c r="B43" i="12"/>
  <c r="J36" i="12"/>
  <c r="C28" i="12"/>
  <c r="J5" i="12"/>
  <c r="K28" i="12"/>
  <c r="K43" i="12"/>
  <c r="J28" i="12"/>
  <c r="H43" i="12"/>
  <c r="B12" i="12"/>
  <c r="C13" i="12"/>
  <c r="H28" i="12"/>
  <c r="C36" i="12"/>
  <c r="J43" i="12"/>
  <c r="F28" i="12"/>
  <c r="G43" i="12"/>
  <c r="B36" i="12"/>
  <c r="G28" i="12"/>
  <c r="B28" i="12"/>
  <c r="I43" i="12"/>
  <c r="C26" i="8"/>
  <c r="B9" i="8"/>
  <c r="F43" i="12"/>
  <c r="D43" i="12"/>
  <c r="I13" i="12"/>
  <c r="G21" i="12"/>
  <c r="D13" i="12"/>
  <c r="E43" i="12"/>
  <c r="K21" i="12"/>
  <c r="H13" i="12"/>
  <c r="F21" i="12"/>
  <c r="D36" i="12"/>
  <c r="K13" i="12"/>
  <c r="G13" i="12"/>
  <c r="E21" i="12"/>
  <c r="F13" i="12"/>
  <c r="D21" i="12"/>
  <c r="C43" i="12"/>
  <c r="J21" i="12"/>
  <c r="I21" i="12"/>
  <c r="J13" i="12"/>
  <c r="H21" i="12"/>
  <c r="E13" i="12"/>
  <c r="C21" i="12"/>
  <c r="G5" i="12"/>
  <c r="C5" i="12"/>
  <c r="B5" i="12"/>
  <c r="I5" i="12"/>
  <c r="H5" i="12"/>
  <c r="F5" i="12"/>
  <c r="E5" i="12"/>
  <c r="D5" i="12"/>
  <c r="C5" i="10"/>
  <c r="B6" i="10" s="1"/>
  <c r="G5" i="10"/>
  <c r="H5" i="10"/>
  <c r="G6" i="10" s="1"/>
  <c r="I5" i="10"/>
  <c r="H6" i="10" s="1"/>
  <c r="J5" i="10"/>
  <c r="I6" i="10" s="1"/>
  <c r="K5" i="10"/>
  <c r="D5" i="10"/>
  <c r="C6" i="10" s="1"/>
  <c r="E5" i="10"/>
  <c r="D6" i="10" s="1"/>
  <c r="F5" i="10"/>
  <c r="E6" i="10" s="1"/>
  <c r="B21" i="12" l="1"/>
  <c r="B13" i="12"/>
  <c r="B29" i="12"/>
  <c r="B44" i="12"/>
  <c r="B6" i="12"/>
  <c r="B10" i="11" s="1"/>
  <c r="L7" i="12" s="1"/>
  <c r="L5" i="12" s="1"/>
  <c r="C14" i="12"/>
  <c r="B14" i="12"/>
  <c r="J6" i="10"/>
  <c r="B11" i="10"/>
  <c r="C11" i="10"/>
  <c r="F6" i="10"/>
  <c r="B9" i="10"/>
  <c r="B35" i="8" l="1"/>
  <c r="B43" i="11" s="1"/>
  <c r="K103" i="2"/>
  <c r="G103" i="2"/>
  <c r="H103" i="2"/>
  <c r="I103" i="2"/>
  <c r="J103" i="2"/>
  <c r="F103" i="2"/>
  <c r="B34" i="8"/>
  <c r="B42" i="11" s="1"/>
  <c r="B21" i="13" s="1"/>
  <c r="C21" i="13" s="1" a="1"/>
  <c r="C21" i="13" s="1"/>
  <c r="B4" i="8"/>
  <c r="C12" i="7"/>
  <c r="D12" i="7"/>
  <c r="E12" i="7"/>
  <c r="F12" i="7"/>
  <c r="G12" i="7"/>
  <c r="H12" i="7"/>
  <c r="I12" i="7"/>
  <c r="J12" i="7"/>
  <c r="K12" i="7"/>
  <c r="B12" i="7"/>
  <c r="C6" i="7"/>
  <c r="D6" i="7"/>
  <c r="E6" i="7"/>
  <c r="F6" i="7"/>
  <c r="G6" i="7"/>
  <c r="H6" i="7"/>
  <c r="I6" i="7"/>
  <c r="J6" i="7"/>
  <c r="K6" i="7"/>
  <c r="B6" i="7"/>
  <c r="C5" i="7"/>
  <c r="D5" i="7"/>
  <c r="E5" i="7"/>
  <c r="F5" i="7"/>
  <c r="G5" i="7"/>
  <c r="H5" i="7"/>
  <c r="I5" i="7"/>
  <c r="J5" i="7"/>
  <c r="K5" i="7"/>
  <c r="B5" i="7"/>
  <c r="C4" i="7"/>
  <c r="D4" i="7"/>
  <c r="E4" i="7"/>
  <c r="F4" i="7"/>
  <c r="G4" i="7"/>
  <c r="H4" i="7"/>
  <c r="I4" i="7"/>
  <c r="J4" i="7"/>
  <c r="K4" i="7"/>
  <c r="B4" i="7"/>
  <c r="C7" i="7"/>
  <c r="D7" i="7"/>
  <c r="E7" i="7"/>
  <c r="F7" i="7"/>
  <c r="G7" i="7"/>
  <c r="H7" i="7"/>
  <c r="I7" i="7"/>
  <c r="J7" i="7"/>
  <c r="K7" i="7"/>
  <c r="B7" i="7"/>
  <c r="M7" i="12" l="1"/>
  <c r="N7" i="12" s="1"/>
  <c r="O7" i="12" s="1"/>
  <c r="P7" i="12" s="1"/>
  <c r="N5" i="10"/>
  <c r="E26" i="8" s="1"/>
  <c r="L36" i="12" l="1"/>
  <c r="L12" i="12"/>
  <c r="L20" i="12" s="1"/>
  <c r="L27" i="12"/>
  <c r="L42" i="12"/>
  <c r="M5" i="12"/>
  <c r="M36" i="12" s="1"/>
  <c r="O5" i="10"/>
  <c r="M42" i="12" l="1"/>
  <c r="M27" i="12"/>
  <c r="M12" i="12"/>
  <c r="M20" i="12" s="1"/>
  <c r="N5" i="12"/>
  <c r="P5" i="10"/>
  <c r="F26" i="8"/>
  <c r="N36" i="12" l="1"/>
  <c r="N12" i="12"/>
  <c r="N20" i="12" s="1"/>
  <c r="N27" i="12"/>
  <c r="N42" i="12"/>
  <c r="O5" i="12"/>
  <c r="G26" i="8"/>
  <c r="Q5" i="10"/>
  <c r="B27" i="8" s="1" a="1"/>
  <c r="O36" i="12" l="1"/>
  <c r="O42" i="12"/>
  <c r="O27" i="12"/>
  <c r="O12" i="12"/>
  <c r="P5" i="12"/>
  <c r="B27" i="8"/>
  <c r="B28" i="8" s="1"/>
  <c r="H28" i="8"/>
  <c r="F28" i="8"/>
  <c r="E28" i="8"/>
  <c r="G28" i="8"/>
  <c r="D28" i="8"/>
  <c r="C28" i="8"/>
  <c r="P36" i="12" l="1"/>
  <c r="C32" i="11" s="1" a="1"/>
  <c r="C32" i="11" s="1"/>
  <c r="P12" i="12"/>
  <c r="P20" i="12" s="1"/>
  <c r="P42" i="12"/>
  <c r="C33" i="11" s="1" a="1"/>
  <c r="C33" i="11" s="1"/>
  <c r="P27" i="12"/>
  <c r="C31" i="11" s="1" a="1"/>
  <c r="C31" i="11" s="1"/>
  <c r="O20" i="12"/>
  <c r="C28" i="11" l="1" a="1"/>
  <c r="B33" i="8"/>
  <c r="B36" i="8" s="1"/>
  <c r="B37" i="8" s="1"/>
  <c r="B16" i="8" s="1"/>
  <c r="C16" i="8" s="1" a="1"/>
  <c r="C16" i="8" s="1"/>
  <c r="C28" i="11" l="1"/>
  <c r="C30" i="11" s="1"/>
  <c r="C34" i="11" s="1"/>
  <c r="D30" i="11"/>
  <c r="D34" i="11" s="1"/>
  <c r="G30" i="11"/>
  <c r="G34" i="11" s="1"/>
  <c r="E30" i="11"/>
  <c r="E34" i="11" s="1"/>
  <c r="F30" i="11"/>
  <c r="F34" i="11" s="1"/>
  <c r="B42" i="8"/>
  <c r="C35" i="11" l="1" a="1"/>
  <c r="C35" i="11" s="1"/>
  <c r="C36" i="11" s="1"/>
  <c r="F36" i="11" l="1"/>
  <c r="G36" i="11"/>
  <c r="D36" i="11"/>
  <c r="E36" i="11"/>
  <c r="H35" i="11"/>
  <c r="H36" i="11" s="1"/>
  <c r="B41" i="11" l="1"/>
  <c r="B44" i="11" s="1"/>
  <c r="B45" i="11" s="1"/>
  <c r="D74" i="11" l="1"/>
  <c r="D80" i="11"/>
  <c r="D62" i="11"/>
  <c r="D56" i="11"/>
  <c r="B19" i="11"/>
  <c r="C19" i="11" s="1" a="1"/>
  <c r="C19" i="11" s="1"/>
  <c r="D68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<sst xmlns="http://schemas.openxmlformats.org/spreadsheetml/2006/main" count="766" uniqueCount="481">
  <si>
    <t>Company Fundamentals - Balance Sheet</t>
  </si>
  <si>
    <t>Company Name</t>
  </si>
  <si>
    <t>Altus Group Ltd (AIF.TO)</t>
  </si>
  <si>
    <t>Country of Exchange</t>
  </si>
  <si>
    <t>Canada</t>
  </si>
  <si>
    <t>Country of Headquarters</t>
  </si>
  <si>
    <t>TRBC Industry Group</t>
  </si>
  <si>
    <t>Real Estate Operations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</si>
  <si>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</si>
  <si>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</si>
  <si>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</si>
  <si>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</si>
  <si>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</si>
  <si>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</si>
  <si>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</si>
  <si>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</si>
  <si>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</si>
  <si>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</si>
  <si>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</si>
  <si>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</si>
  <si>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</si>
  <si>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</si>
  <si>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</si>
  <si>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</si>
  <si>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</si>
  <si>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</si>
  <si>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</si>
  <si>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</si>
  <si>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Period End Date</t>
  </si>
  <si>
    <t>Statement Date</t>
  </si>
  <si>
    <t>Standardized Currency</t>
  </si>
  <si>
    <t>CAD</t>
  </si>
  <si>
    <t>Template Type</t>
  </si>
  <si>
    <t>Industrial - Differentiated</t>
  </si>
  <si>
    <t>Balance Sheet - Company Specific (Currency: Canadian Dollar)</t>
  </si>
  <si>
    <t>Field Name</t>
  </si>
  <si>
    <t>30-12-2015</t>
  </si>
  <si>
    <t>30-12-2016</t>
  </si>
  <si>
    <t>30-12-2017</t>
  </si>
  <si>
    <t>30-12-2018</t>
  </si>
  <si>
    <t>30-12-2019</t>
  </si>
  <si>
    <t>30-12-2020</t>
  </si>
  <si>
    <t>30-12-2021</t>
  </si>
  <si>
    <t>30-12-2022</t>
  </si>
  <si>
    <t>30-12-2023</t>
  </si>
  <si>
    <t>30-12-2024</t>
  </si>
  <si>
    <t>Cash and cash equivalents</t>
  </si>
  <si>
    <t>Cash on hand</t>
  </si>
  <si>
    <t>Short-term deposits</t>
  </si>
  <si>
    <t>Trade receivables and other</t>
  </si>
  <si>
    <t>Trade Receivable, Gross</t>
  </si>
  <si>
    <t>Allowance for Doubtful Accounts</t>
  </si>
  <si>
    <t>Contract assets: unbilled revenue on customer contracts (1)</t>
  </si>
  <si>
    <t>Prepayments</t>
  </si>
  <si>
    <t>Other receivables</t>
  </si>
  <si>
    <t>Receivables from related parties</t>
  </si>
  <si>
    <t>Less non-current portion: prepayments</t>
  </si>
  <si>
    <t>Income taxes recoverable</t>
  </si>
  <si>
    <t>Derivative financial instruments</t>
  </si>
  <si>
    <t>Assets held for sale</t>
  </si>
  <si>
    <t>Total current assets</t>
  </si>
  <si>
    <t>Contract assets: Unbilled revenue on customer contracts</t>
  </si>
  <si>
    <t>Promissory note receivable</t>
  </si>
  <si>
    <t>Investments</t>
  </si>
  <si>
    <t>Deferred tax assets</t>
  </si>
  <si>
    <t>Property, plant and equipment, Gross</t>
  </si>
  <si>
    <t>Depreciation</t>
  </si>
  <si>
    <t>Property, plant and equipment</t>
  </si>
  <si>
    <t>Leasehold Improvements - Gross</t>
  </si>
  <si>
    <t>Leasehold Improvements - Accumulated Depreciation</t>
  </si>
  <si>
    <t>Furnitures, Fixtures and Equipment</t>
  </si>
  <si>
    <t>Accumulated Depreciation, Furnitures, Fixtures and Equipment</t>
  </si>
  <si>
    <t>Computer Equipment - Gross</t>
  </si>
  <si>
    <t>Computer Equipment - Accumulated Depreciation</t>
  </si>
  <si>
    <t>Total Intangible Assets excluding Goodwill, Gross</t>
  </si>
  <si>
    <t>Amortization of Intangibles</t>
  </si>
  <si>
    <t>Intangibles</t>
  </si>
  <si>
    <t>Brands of Acquired Businesses - Gross</t>
  </si>
  <si>
    <t>Brands of Acquired Businesses - Accumulated Amortisation</t>
  </si>
  <si>
    <t>Computer Application Software - Gross</t>
  </si>
  <si>
    <t>Computer Application Software - Accumulated Amortisation</t>
  </si>
  <si>
    <t>Custom Software Applications - Gross</t>
  </si>
  <si>
    <t>Custom Software Applications - Accumulated Amortisation</t>
  </si>
  <si>
    <t>Internally Generated Software - Gross</t>
  </si>
  <si>
    <t>Internally Generated Software - Accumulated Amortisation</t>
  </si>
  <si>
    <t>Data Agreements - Net</t>
  </si>
  <si>
    <t>Data Agreements - Gross</t>
  </si>
  <si>
    <t>Data Agreements - Accumulated Amortisation</t>
  </si>
  <si>
    <t>Customer Backlog - Gross</t>
  </si>
  <si>
    <t>Customer Backlog - Accumulated Amortisation</t>
  </si>
  <si>
    <t>Customer Lists - Gross</t>
  </si>
  <si>
    <t>Customer Lists - Accumulated Amortisation</t>
  </si>
  <si>
    <t>Databases, Gross</t>
  </si>
  <si>
    <t>Databases - Accumulated Amortisation</t>
  </si>
  <si>
    <t>Non- compete Agreements - Gross</t>
  </si>
  <si>
    <t>Non- compete Agreements - Accumulated Amortisation</t>
  </si>
  <si>
    <t>Indefinite Brands</t>
  </si>
  <si>
    <t>Goodwill</t>
  </si>
  <si>
    <t>Goodwill, Gross</t>
  </si>
  <si>
    <t>Accumulated impairment, Goodwill</t>
  </si>
  <si>
    <t>Right-of-use assets</t>
  </si>
  <si>
    <t>Right of Use Tangible Assets - Capital/Finance Lease - Gross</t>
  </si>
  <si>
    <t>Right of Use Tangible Assets - Capital/Finance Lease - Accumulated Depreciation</t>
  </si>
  <si>
    <t>Investment in joint venture</t>
  </si>
  <si>
    <t>Total Non-current Assets</t>
  </si>
  <si>
    <t>Total Assets</t>
  </si>
  <si>
    <t>Trade payables and other</t>
  </si>
  <si>
    <t>Trade payables</t>
  </si>
  <si>
    <t>Accrued expenses</t>
  </si>
  <si>
    <t>Contract liabilities: deferred revenue</t>
  </si>
  <si>
    <t>Deferred consideration payables</t>
  </si>
  <si>
    <t>Contingent consideration payables</t>
  </si>
  <si>
    <t>Share repurchase commitment</t>
  </si>
  <si>
    <t>Dividends payable</t>
  </si>
  <si>
    <t>Due to related party (GeoVerra)</t>
  </si>
  <si>
    <t>Lease inducements</t>
  </si>
  <si>
    <t>Provisions</t>
  </si>
  <si>
    <t>Income taxes payable</t>
  </si>
  <si>
    <t>Lease liabilities</t>
  </si>
  <si>
    <t>Borrowings</t>
  </si>
  <si>
    <t>Amounts payable to unitholders</t>
  </si>
  <si>
    <t>Liabilities directly associated with assets held for sale</t>
  </si>
  <si>
    <t>Total Current Liabilities</t>
  </si>
  <si>
    <t>Trade payables And Other</t>
  </si>
  <si>
    <t>Accrued Expenses</t>
  </si>
  <si>
    <t>Contract liabilities deferred revenue</t>
  </si>
  <si>
    <t>Provisions - Restructuring - Long-Term</t>
  </si>
  <si>
    <t>Provisions - Other</t>
  </si>
  <si>
    <t>Deferred tax liabilities</t>
  </si>
  <si>
    <t>Non-controlling interest</t>
  </si>
  <si>
    <t>Total Non-current Liabilities</t>
  </si>
  <si>
    <t>Total Liabilities</t>
  </si>
  <si>
    <t>Treasury</t>
  </si>
  <si>
    <t>Share capital</t>
  </si>
  <si>
    <t>Equity component of convertible debentures</t>
  </si>
  <si>
    <t>Contributed Surplus</t>
  </si>
  <si>
    <t>Accumulated other comprehensive income (loss)</t>
  </si>
  <si>
    <t>Currency translation reserve</t>
  </si>
  <si>
    <t>AFS Investments Reserve</t>
  </si>
  <si>
    <t>FVOCI Investments Reserve</t>
  </si>
  <si>
    <t>Retained earnings (deficit)</t>
  </si>
  <si>
    <t>Reserves of assets held for sale</t>
  </si>
  <si>
    <t>Other equity</t>
  </si>
  <si>
    <t>Total shareholders equity</t>
  </si>
  <si>
    <t>Rep Total Equity &amp; Minority Interest</t>
  </si>
  <si>
    <t>Equity Minority Interests/Equity Non-Controlling Interests</t>
  </si>
  <si>
    <t>Minority Interest</t>
  </si>
  <si>
    <t>Total Liabilities and Shareholders Equity</t>
  </si>
  <si>
    <t>Total Equivalent No of Common Shares O/S</t>
  </si>
  <si>
    <t>Common Shares Treasury - (Company Level)</t>
  </si>
  <si>
    <t>Common Shares Issued - (Company Level)</t>
  </si>
  <si>
    <t>Revolving Line of Credit - Total Principal Amount</t>
  </si>
  <si>
    <t>Total Long Term Debt, Supplemental</t>
  </si>
  <si>
    <t>Long Term Debt Maturing within 1 Year</t>
  </si>
  <si>
    <t>Long Term Debt Maturing in Year 3</t>
  </si>
  <si>
    <t>Long Term Debt Maturing in Year 5</t>
  </si>
  <si>
    <t>Long Term Debt - Remaining Maturities</t>
  </si>
  <si>
    <t>Total Capital Leases, Supplemental</t>
  </si>
  <si>
    <t>Capital Lease Maturing within 1 Year</t>
  </si>
  <si>
    <t>Capital Lease Maturing within 3 Years</t>
  </si>
  <si>
    <t>Capital Lease Maturing within 5 Years</t>
  </si>
  <si>
    <t>Capital Leases - Remaining Maturities</t>
  </si>
  <si>
    <t>S/O-Common Stock</t>
  </si>
  <si>
    <t>T/S-Common Stock</t>
  </si>
  <si>
    <t>Asset Allocation Factor - (Instrument Level)</t>
  </si>
  <si>
    <t>Common Shares Issued - (Instrument Level)</t>
  </si>
  <si>
    <t>Company Fundamentals - Income Statement</t>
  </si>
  <si>
    <t>Industrial - Operating</t>
  </si>
  <si>
    <t>Income Statement - Company Specific (Currency: Canadian Dollar)</t>
  </si>
  <si>
    <t>Revenues</t>
  </si>
  <si>
    <t>Total Revenue</t>
  </si>
  <si>
    <t>Employee compensation</t>
  </si>
  <si>
    <t>Non-cash share-based compensation costs</t>
  </si>
  <si>
    <t>Gain (loss) on equity derivatives net</t>
  </si>
  <si>
    <t>Gain (loss) on equity derivatives net of mark to market adjustments</t>
  </si>
  <si>
    <t>Employee compensation - Balancing value</t>
  </si>
  <si>
    <t>Occupancy</t>
  </si>
  <si>
    <t>Other operating</t>
  </si>
  <si>
    <t>Unrealized foreign exchange gain (loss)</t>
  </si>
  <si>
    <t>Gain (loss) on disposal of PPE and Intangibles</t>
  </si>
  <si>
    <t>Share-based compensation</t>
  </si>
  <si>
    <t>Termination Benefits</t>
  </si>
  <si>
    <t>Non-Recurring Income/Expense - Other</t>
  </si>
  <si>
    <t>Office and other operating - Balancing value</t>
  </si>
  <si>
    <t>Amortization of intangibles</t>
  </si>
  <si>
    <t>Depreciation of right-of-use assets</t>
  </si>
  <si>
    <t>Depreciation of property, plant and equipment</t>
  </si>
  <si>
    <t>Acquisition and related transition costs (income)</t>
  </si>
  <si>
    <t>Share of (profit) loss of joint venture</t>
  </si>
  <si>
    <t>Restructuring costs (recovery)</t>
  </si>
  <si>
    <t>Impairment of right of use assets</t>
  </si>
  <si>
    <t>Restructuring costs (recovery) - Balancing value</t>
  </si>
  <si>
    <t>(Gain) loss on investments</t>
  </si>
  <si>
    <t>Impairment charge - goodwill</t>
  </si>
  <si>
    <t>Impairment charge</t>
  </si>
  <si>
    <t>Total Operating Expense</t>
  </si>
  <si>
    <t>Operating profit (loss)</t>
  </si>
  <si>
    <t>Finance costs (income), net - leases</t>
  </si>
  <si>
    <t>Interest on lease liabilities</t>
  </si>
  <si>
    <t>Finance costs, net</t>
  </si>
  <si>
    <t>Other</t>
  </si>
  <si>
    <t>Interest on Bank credit facilities</t>
  </si>
  <si>
    <t>Contingent consideration payable: unwinding of discount</t>
  </si>
  <si>
    <t>Provisions: unwinding of discount</t>
  </si>
  <si>
    <t>Change in fair value of interest rate swaps</t>
  </si>
  <si>
    <t>Distributions payable on Altus UK LLP class B and D units</t>
  </si>
  <si>
    <t>Interest on convertible debentures</t>
  </si>
  <si>
    <t>Interest on finance leases</t>
  </si>
  <si>
    <t>Change in fair value of Altus UK LLP Class B and D units, net of change in fair value of related equity derivative</t>
  </si>
  <si>
    <t>Finance income</t>
  </si>
  <si>
    <t>Finance costs, net - Balancing value</t>
  </si>
  <si>
    <t>Profit (loss) before income taxes from continuing operations</t>
  </si>
  <si>
    <t>Income tax expense (recovery)</t>
  </si>
  <si>
    <t>Current</t>
  </si>
  <si>
    <t>Current income tax on profits for the year</t>
  </si>
  <si>
    <t>Adjustments in respect of prior years</t>
  </si>
  <si>
    <t>Deferred</t>
  </si>
  <si>
    <t>Origination and reversal of temporary differences</t>
  </si>
  <si>
    <t>Change in income tax rates</t>
  </si>
  <si>
    <t>Deferred - Balancing value</t>
  </si>
  <si>
    <t>Income Taxes - Total</t>
  </si>
  <si>
    <t>Profit (loss) for the period</t>
  </si>
  <si>
    <t>Profit (loss) for the year from discontinued operations</t>
  </si>
  <si>
    <t>Extraordinary Items (after Tax)</t>
  </si>
  <si>
    <t>Non controlling interest</t>
  </si>
  <si>
    <t>Minority Interest - Total</t>
  </si>
  <si>
    <t>Profit (loss) for the period attributable to shareholders</t>
  </si>
  <si>
    <t>Profit (loss) for the year</t>
  </si>
  <si>
    <t>Currency translation differences</t>
  </si>
  <si>
    <t>Share of other comprehensive loss of associates</t>
  </si>
  <si>
    <t>Changes in investments measured at fair value through other comprehensive income, net of tax</t>
  </si>
  <si>
    <t>Change in fair value of FVOCI investments</t>
  </si>
  <si>
    <t>Other Comprehensive Income - Net of Tax - Total</t>
  </si>
  <si>
    <t>Comprehensive Income - Attributable to Minority Interest - Total</t>
  </si>
  <si>
    <t>Shareholders of the Company Earnings (loss) per share attributable to the shareholders of the Company during the year</t>
  </si>
  <si>
    <t>attributable to shareholders</t>
  </si>
  <si>
    <t>As Reported Basic Weighted Avg. Shares</t>
  </si>
  <si>
    <t>As Reported Diluted Weighted Avg. Shares</t>
  </si>
  <si>
    <t>Basic earnings (loss) per share</t>
  </si>
  <si>
    <t>Diluted earnings (loss) per share</t>
  </si>
  <si>
    <t>Diluted EPS Excluding ExtraOrd Items</t>
  </si>
  <si>
    <t>Diluted Net Income</t>
  </si>
  <si>
    <t>Diluted Net Income excluding Extra Items applicable to Common - (Company Level)</t>
  </si>
  <si>
    <t>Audit Fees</t>
  </si>
  <si>
    <t>Audit-Related Fees</t>
  </si>
  <si>
    <t>Tax Fees</t>
  </si>
  <si>
    <t>Auditor Fees - Total</t>
  </si>
  <si>
    <t>All Other Fees</t>
  </si>
  <si>
    <t>Stock-Based Compensation, Supplemental</t>
  </si>
  <si>
    <t>Total Depreciation of Fixed Assets</t>
  </si>
  <si>
    <t>Amortization of Intangible Assets excluding Goodwill - Total</t>
  </si>
  <si>
    <t>Interest Expense on Financial Lease Liabilities - Supplemental</t>
  </si>
  <si>
    <t>Non-GAAP Adjusted Net Earnings</t>
  </si>
  <si>
    <t>Non-GAAP EPS Basic</t>
  </si>
  <si>
    <t>Non-GAAP EPS Diluted</t>
  </si>
  <si>
    <t>Adjusted EBITDA</t>
  </si>
  <si>
    <t>Termination Benefits - Excluding value included in Office expenses</t>
  </si>
  <si>
    <t>Impairment -Leases</t>
  </si>
  <si>
    <t>Basic Weighted Average Shares used to Calculate EPS - (Instrument Level)</t>
  </si>
  <si>
    <t>Diluted Weighted Average Shares used to Calculate EPS - (Instrument Level)</t>
  </si>
  <si>
    <t>Basic EPS - Net Income excl Extra Items applicable to Common - (Instrument Level)</t>
  </si>
  <si>
    <t>Diluted EPS - Net Income excl Extra Items applicable to Common - (Instrument Level)</t>
  </si>
  <si>
    <t>Diluted Earnings Allocation Factor - (Instrument Level)</t>
  </si>
  <si>
    <t>Diluted Net Income excluding Extra Items applicable to Common - (Instrument Level)</t>
  </si>
  <si>
    <t>Net Income excluding Extra Items applicable to Common - (Instrument Level)</t>
  </si>
  <si>
    <t>Allocated Diluted Net Income incl Extra Items applicable to Common - (Instrument Level)</t>
  </si>
  <si>
    <t>Allocated Net Income incl Extra Items applicable to Common - (Instrument Level)</t>
  </si>
  <si>
    <t>Earnings Allocation Factor - (Instrument Level)</t>
  </si>
  <si>
    <t>Company Fundamentals - Cash Flow</t>
  </si>
  <si>
    <t>Industrial - Indirect</t>
  </si>
  <si>
    <t>Cash Flow - Company Specific (Currency: Canadian Dollar)</t>
  </si>
  <si>
    <t>Profit (loss) before income taxes</t>
  </si>
  <si>
    <t>Amortization of lease inducements</t>
  </si>
  <si>
    <t>Tax credits recorded through employee compensation</t>
  </si>
  <si>
    <t>Amortization of capitalized software development costs</t>
  </si>
  <si>
    <t>Finance costs (income), net - other</t>
  </si>
  <si>
    <t>Unrealized foreign exchange (gain) loss</t>
  </si>
  <si>
    <t>(Gain) loss on disposal of property, plant and equipment and intangibles</t>
  </si>
  <si>
    <t>(Gain) loss on equity derivatives</t>
  </si>
  <si>
    <t>Impairment charge leases</t>
  </si>
  <si>
    <t>Operating working capital</t>
  </si>
  <si>
    <t>Net cash generated by (used in) operations</t>
  </si>
  <si>
    <t>Interest paid on borrowings</t>
  </si>
  <si>
    <t>Interest paid on leases</t>
  </si>
  <si>
    <t>Income taxes paid</t>
  </si>
  <si>
    <t>Income taxes refunded</t>
  </si>
  <si>
    <t>Fair value loss (gain) on net assets directly associated with discontinued operations</t>
  </si>
  <si>
    <t>(Gain) loss on sale of the discontinued operations</t>
  </si>
  <si>
    <t>Profit (loss) from discontinued operations before income taxes</t>
  </si>
  <si>
    <t>Impairment of right</t>
  </si>
  <si>
    <t>Liabilities for cash-settled share-based compensation</t>
  </si>
  <si>
    <t>Impairment of non-financial assets</t>
  </si>
  <si>
    <t>Net cash provided by (used in) operating activities</t>
  </si>
  <si>
    <t>Purchase of investments</t>
  </si>
  <si>
    <t>Purchase of intangibles</t>
  </si>
  <si>
    <t>Purchase of property, plant and equipment</t>
  </si>
  <si>
    <t>Proceeds from disposal of property, plant and equipment and intangibles</t>
  </si>
  <si>
    <t>Proceeds from disposal of investment</t>
  </si>
  <si>
    <t>Acquisitions, net of cash acquired</t>
  </si>
  <si>
    <t>Cash contribution to investment in joint venture</t>
  </si>
  <si>
    <t>Proceeds from investments</t>
  </si>
  <si>
    <t>Proceeds from disposal of investments</t>
  </si>
  <si>
    <t>Proceeds from sale of disposal group</t>
  </si>
  <si>
    <t>Net cash provided by (used in) investing activities</t>
  </si>
  <si>
    <t>Proceeds from exercise of options</t>
  </si>
  <si>
    <t>Redemption of Altus UK LLP Class B and D units</t>
  </si>
  <si>
    <t>Financing fees paid</t>
  </si>
  <si>
    <t>Proceeds from borrowings</t>
  </si>
  <si>
    <t>Repayment of borrowings</t>
  </si>
  <si>
    <t>Dividends paid</t>
  </si>
  <si>
    <t>Interest paid to Altus UK LLP Class B and D unitholders</t>
  </si>
  <si>
    <t>Treasury shares purchased for share-based compensation</t>
  </si>
  <si>
    <t>Payments of principal on lease liabilities</t>
  </si>
  <si>
    <t>Proceeds from share issuance, net of transaction costs</t>
  </si>
  <si>
    <t>Cancellation of shares</t>
  </si>
  <si>
    <t>Proceeds from right-of-use asset lease inducements</t>
  </si>
  <si>
    <t>Net cash provided by (used in) financing activities</t>
  </si>
  <si>
    <t>Effect of foreign currency translation</t>
  </si>
  <si>
    <t>Cash and cash equivalents, beginning of period</t>
  </si>
  <si>
    <t>Cash and cash equivalents, end of period</t>
  </si>
  <si>
    <t>Net increase (decrease) in cash and cash equivalents</t>
  </si>
  <si>
    <t>Enterprise Value</t>
  </si>
  <si>
    <t>Liquidity</t>
  </si>
  <si>
    <t>Current Ratio</t>
  </si>
  <si>
    <t>Operating</t>
  </si>
  <si>
    <t>Accounts Receivable Turnover</t>
  </si>
  <si>
    <t>Average Receivables Collection Days</t>
  </si>
  <si>
    <t xml:space="preserve">Profitability </t>
  </si>
  <si>
    <t>Leverage</t>
  </si>
  <si>
    <t>Historical FCF</t>
  </si>
  <si>
    <t>Cash Flow from Operation</t>
  </si>
  <si>
    <t>Capital Expenditure</t>
  </si>
  <si>
    <t>FCF</t>
  </si>
  <si>
    <t>Average Growth Rate</t>
  </si>
  <si>
    <t>Median Growth Rate</t>
  </si>
  <si>
    <t>CAGR</t>
  </si>
  <si>
    <t>Growth Rate (YoY)</t>
  </si>
  <si>
    <t>Projected FCF</t>
  </si>
  <si>
    <t>2020-2024</t>
  </si>
  <si>
    <t>2015-2024</t>
  </si>
  <si>
    <t>Year</t>
  </si>
  <si>
    <t>FCF with Terminal Value</t>
  </si>
  <si>
    <t>Present Value</t>
  </si>
  <si>
    <t>Free Cash Flow Projection</t>
  </si>
  <si>
    <t>Firm Cash</t>
  </si>
  <si>
    <t>Firm Debt</t>
  </si>
  <si>
    <t xml:space="preserve">Fair Share Price </t>
  </si>
  <si>
    <t>Recommendation</t>
  </si>
  <si>
    <t>Input and Assumptions</t>
  </si>
  <si>
    <t>Cells in YELLOW are input</t>
  </si>
  <si>
    <t xml:space="preserve">Last Updated on </t>
  </si>
  <si>
    <t>Last Financial Statement Date</t>
  </si>
  <si>
    <t>Cells in BEIGE are looked up</t>
  </si>
  <si>
    <t>Current Market Price</t>
  </si>
  <si>
    <t># of share outstanding in million</t>
  </si>
  <si>
    <t>Cells in WHITE are calculated</t>
  </si>
  <si>
    <t>Growth rate of FCF (long term growth)</t>
  </si>
  <si>
    <t>Cells in RED are output</t>
  </si>
  <si>
    <t>Investment Criteria</t>
  </si>
  <si>
    <t>Decision</t>
  </si>
  <si>
    <t>Difference Between Value and Price</t>
  </si>
  <si>
    <t>Sell</t>
  </si>
  <si>
    <t>Underperform</t>
  </si>
  <si>
    <t>HOLD</t>
  </si>
  <si>
    <t>BUY</t>
  </si>
  <si>
    <t>Strong Buy</t>
  </si>
  <si>
    <t>Today</t>
  </si>
  <si>
    <t>Yr 1</t>
  </si>
  <si>
    <t>Yr 2</t>
  </si>
  <si>
    <t>Yr 3</t>
  </si>
  <si>
    <t>Yr 4</t>
  </si>
  <si>
    <t>Yr 5</t>
  </si>
  <si>
    <t>Terminal Value @ Yr 5</t>
  </si>
  <si>
    <t>Sensitivity Analysis</t>
  </si>
  <si>
    <t>Real Estate (Operations &amp; Services)</t>
  </si>
  <si>
    <t>Industry Name</t>
  </si>
  <si>
    <t>Number of Firms</t>
  </si>
  <si>
    <t>Beta</t>
  </si>
  <si>
    <t>Cost of Equity</t>
  </si>
  <si>
    <t>E/(D+E)</t>
  </si>
  <si>
    <t>Std Dev in Stock</t>
  </si>
  <si>
    <t>Cost of Debt</t>
  </si>
  <si>
    <t>Tax Rate</t>
  </si>
  <si>
    <t>After-tax Cost of Debt</t>
  </si>
  <si>
    <t>D/(D+E)</t>
  </si>
  <si>
    <t>Cost of Capital</t>
  </si>
  <si>
    <t>Cost of Capital (Local Currency)</t>
  </si>
  <si>
    <t>WAACC</t>
  </si>
  <si>
    <t>2030 &amp; &gt;</t>
  </si>
  <si>
    <t>WACC</t>
  </si>
  <si>
    <t>Growth is phased down from the initial rate</t>
  </si>
  <si>
    <t>Initial FCF Growth (Short-term Rate)</t>
  </si>
  <si>
    <t>Discount Rate (WACC)</t>
  </si>
  <si>
    <t># of share outstanding in million (FY 2024)</t>
  </si>
  <si>
    <t>Equity Value</t>
  </si>
  <si>
    <t>Base</t>
  </si>
  <si>
    <t>Terminal Growth Rate vs Discount Rate (CSCF)</t>
  </si>
  <si>
    <t>Inflation</t>
  </si>
  <si>
    <t xml:space="preserve">Assumption on the  average growth rate of </t>
  </si>
  <si>
    <t>Effective Tax Rate</t>
  </si>
  <si>
    <t>EBIT (Operating Income)</t>
  </si>
  <si>
    <t>Tax</t>
  </si>
  <si>
    <t>Depreciation and Other non-cash items</t>
  </si>
  <si>
    <t>Change in NWC</t>
  </si>
  <si>
    <t>Capital expenditure</t>
  </si>
  <si>
    <t>REVENUE</t>
  </si>
  <si>
    <t>Revenue</t>
  </si>
  <si>
    <t>EBIT</t>
  </si>
  <si>
    <t>DEPRECIATION AND OTHER NON-CASH ITEMS</t>
  </si>
  <si>
    <t>TAX</t>
  </si>
  <si>
    <t>CAPITAL EXPENDITURE</t>
  </si>
  <si>
    <t>CHANGE IN WORKING CAPITAL</t>
  </si>
  <si>
    <t>AVERAGE</t>
  </si>
  <si>
    <t>Shor-term Growth Rates (Assumptions)</t>
  </si>
  <si>
    <t>EBIT Margin</t>
  </si>
  <si>
    <t>Growth Assumptions</t>
  </si>
  <si>
    <t>Implied Tax Rate</t>
  </si>
  <si>
    <t>Tax Rate (25% of EBIT)</t>
  </si>
  <si>
    <t>Depreciation &amp; Ammortization</t>
  </si>
  <si>
    <t>Net Working Capital</t>
  </si>
  <si>
    <t>Change in Working Capital</t>
  </si>
  <si>
    <t>NWC Assumption Rate</t>
  </si>
  <si>
    <t>CapEx % of Revenue</t>
  </si>
  <si>
    <t>CapEx (PPE &amp; Intangibles)</t>
  </si>
  <si>
    <t>NOPAT</t>
  </si>
  <si>
    <t>Discount rate (WACC)</t>
  </si>
  <si>
    <t>Historical</t>
  </si>
  <si>
    <t>Projected</t>
  </si>
  <si>
    <t>SELL</t>
  </si>
  <si>
    <t>Case</t>
  </si>
  <si>
    <t>Low</t>
  </si>
  <si>
    <t>High</t>
  </si>
  <si>
    <t>Scenario 1: Discount Rate ±10%</t>
  </si>
  <si>
    <t>Fair Price</t>
  </si>
  <si>
    <t>Scenario 2: Long-Term Growth ±10%</t>
  </si>
  <si>
    <t>Scenario 3: Inflation ±10%</t>
  </si>
  <si>
    <t>Long_term g</t>
  </si>
  <si>
    <t>Short-term g</t>
  </si>
  <si>
    <t>Inflation Rate</t>
  </si>
  <si>
    <t>Comparable Companies</t>
  </si>
  <si>
    <t>Company 1</t>
  </si>
  <si>
    <t>Company 2</t>
  </si>
  <si>
    <t>Company 3</t>
  </si>
  <si>
    <t>Company 4</t>
  </si>
  <si>
    <t>Company 5</t>
  </si>
  <si>
    <t>Mutiples Ratios at</t>
  </si>
  <si>
    <t>Total Enterprise Value (TEV)/Revenue</t>
  </si>
  <si>
    <t>TEV/EBITDA</t>
  </si>
  <si>
    <t>P/E</t>
  </si>
  <si>
    <t>Your Company Information</t>
  </si>
  <si>
    <t>EBITDA</t>
  </si>
  <si>
    <t>Earnings per share</t>
  </si>
  <si>
    <t>Average Multiple</t>
  </si>
  <si>
    <t>average</t>
  </si>
  <si>
    <t>median</t>
  </si>
  <si>
    <t>your company</t>
  </si>
  <si>
    <t>TEV/Revenue</t>
  </si>
  <si>
    <t>implied by</t>
  </si>
  <si>
    <t>Colliers International</t>
  </si>
  <si>
    <t>FirstService Corp</t>
  </si>
  <si>
    <t>CBRE Group</t>
  </si>
  <si>
    <t>Jones Lang LaSalle</t>
  </si>
  <si>
    <t>Real Matters Inc</t>
  </si>
  <si>
    <t>Implied Share Price (P/E)</t>
  </si>
  <si>
    <t>Gowth Assumptions</t>
  </si>
  <si>
    <t>Growth (Calculated)</t>
  </si>
  <si>
    <t>Scenario 4: Short-Term Revenue Growth ±10%</t>
  </si>
  <si>
    <t>Industry Tax Rate</t>
  </si>
  <si>
    <t>Scenario 5: Industry Tax Rate ±10%</t>
  </si>
  <si>
    <t>Base (Industry Tax Rate)</t>
  </si>
  <si>
    <t>D&amp;A of Revenue</t>
  </si>
  <si>
    <t>AVERAGE/MEDIAN</t>
  </si>
  <si>
    <t>TDTA</t>
  </si>
  <si>
    <t>TDTC</t>
  </si>
  <si>
    <t>TDTE</t>
  </si>
  <si>
    <t>ICR</t>
  </si>
  <si>
    <t>GPM</t>
  </si>
  <si>
    <t>NPM</t>
  </si>
  <si>
    <t>ROA</t>
  </si>
  <si>
    <t>ROE</t>
  </si>
  <si>
    <t>OPM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</si>
</sst>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4" formatCode="_-&quot;$&quot;* #,##0.00_-;\-&quot;$&quot;* #,##0.00_-;_-&quot;$&quot;* &quot;-&quot;??_-;_-@_-"/>
    <numFmt numFmtId="164" formatCode="dd\-mm\-yyyy"/>
    <numFmt numFmtId="165" formatCode="#,##0.0"/>
    <numFmt numFmtId="166" formatCode="[&gt;=100]##,##0.0\%;[&lt;=-100]\-##,##0.0\%;##,##0.0\%"/>
    <numFmt numFmtId="167" formatCode="0.0%"/>
    <numFmt numFmtId="168" formatCode="_(&quot;$&quot;* #,##0.00_);_(&quot;$&quot;* \(#,##0.00\);_(&quot;$&quot;* &quot;-&quot;??_);_(@_)"/>
    <numFmt numFmtId="169" formatCode="_(&quot;$&quot;* #,##0_);_(&quot;$&quot;* \(#,##0\);_(&quot;$&quot;* &quot;-&quot;??_);_(@_)"/>
    <numFmt numFmtId="170" formatCode="&quot;$&quot;#,##0_);[Red]\(&quot;$&quot;#,##0\)"/>
    <numFmt numFmtId="171" formatCode="[$-409]mmm\-yy;@"/>
    <numFmt numFmtId="172" formatCode="#,##0.0\x"/>
  </numFmts>
  <fonts count="36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sz val="11"/>
      <color rgb="FF000000"/>
      <name val="Times New Roman"/>
      <family val="1"/>
    </font>
    <font>
      <sz val="11"/>
      <color theme="0"/>
      <name val="Calibri"/>
      <family val="2"/>
    </font>
    <font>
      <sz val="11"/>
      <color theme="0" tint="-4.9989318521683403E-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Geneva"/>
    </font>
    <font>
      <sz val="9"/>
      <color theme="1"/>
      <name val="Geneva"/>
      <family val="2"/>
      <charset val="1"/>
    </font>
    <font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9"/>
      <name val="Geneva"/>
      <family val="2"/>
      <charset val="1"/>
    </font>
    <font>
      <b/>
      <sz val="11"/>
      <color rgb="FF000000"/>
      <name val="Calibri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8"/>
      <color indexed="8"/>
      <name val="Arial"/>
      <family val="2"/>
    </font>
    <font>
      <sz val="16"/>
      <color theme="1"/>
      <name val="Arial"/>
      <family val="2"/>
    </font>
    <font>
      <sz val="11"/>
      <name val="Calibri"/>
      <family val="2"/>
    </font>
    <font>
      <b/>
      <sz val="11"/>
      <color theme="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theme="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theme="0" tint="-0.1499984740745262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 applyNumberFormat="0" applyBorder="0" applyAlignment="0"/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0" fontId="21" fillId="0" borderId="0"/>
    <xf numFmtId="0" fontId="2" fillId="0" borderId="0"/>
    <xf numFmtId="0" fontId="31" fillId="0" borderId="0"/>
  </cellStyleXfs>
  <cellXfs count="258">
    <xf numFmtId="0" fontId="0" fillId="0" borderId="0" xfId="0"/>
    <xf numFmtId="0" fontId="3" fillId="2" borderId="1" xfId="0" applyFont="1" applyFill="1" applyBorder="1"/>
    <xf numFmtId="0" fontId="4" fillId="2" borderId="1" xfId="0" applyFont="1" applyFill="1" applyBorder="1"/>
    <xf numFmtId="0" fontId="5" fillId="0" borderId="0" xfId="0" applyFont="1"/>
    <xf numFmtId="0" fontId="6" fillId="0" borderId="0" xfId="0" applyFont="1"/>
    <xf numFmtId="164" fontId="5" fillId="0" borderId="0" xfId="0" applyNumberFormat="1" applyFont="1" applyAlignment="1">
      <alignment horizontal="left"/>
    </xf>
    <xf numFmtId="0" fontId="4" fillId="2" borderId="2" xfId="0" applyFont="1" applyFill="1" applyBorder="1"/>
    <xf numFmtId="0" fontId="5" fillId="0" borderId="3" xfId="0" applyFont="1" applyBorder="1" applyAlignment="1">
      <alignment horizontal="left" vertical="center"/>
    </xf>
    <xf numFmtId="0" fontId="4" fillId="2" borderId="2" xfId="0" applyFont="1" applyFill="1" applyBorder="1" applyAlignment="1">
      <alignment wrapText="1"/>
    </xf>
    <xf numFmtId="0" fontId="4" fillId="2" borderId="2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4" fontId="7" fillId="0" borderId="3" xfId="0" applyNumberFormat="1" applyFont="1" applyBorder="1" applyAlignment="1">
      <alignment horizontal="left" vertical="center" wrapText="1"/>
    </xf>
    <xf numFmtId="3" fontId="7" fillId="0" borderId="3" xfId="0" applyNumberFormat="1" applyFont="1" applyBorder="1" applyAlignment="1">
      <alignment horizontal="left" vertical="center" wrapText="1"/>
    </xf>
    <xf numFmtId="4" fontId="7" fillId="0" borderId="3" xfId="0" applyNumberFormat="1" applyFont="1" applyBorder="1" applyAlignment="1">
      <alignment horizontal="left" vertical="center" wrapText="1" indent="2"/>
    </xf>
    <xf numFmtId="3" fontId="7" fillId="0" borderId="3" xfId="0" applyNumberFormat="1" applyFont="1" applyBorder="1" applyAlignment="1">
      <alignment horizontal="left" vertical="center" wrapText="1" indent="2"/>
    </xf>
    <xf numFmtId="165" fontId="7" fillId="0" borderId="3" xfId="0" applyNumberFormat="1" applyFont="1" applyBorder="1" applyAlignment="1">
      <alignment horizontal="left" vertical="center" wrapText="1"/>
    </xf>
    <xf numFmtId="165" fontId="7" fillId="0" borderId="3" xfId="0" applyNumberFormat="1" applyFont="1" applyBorder="1" applyAlignment="1">
      <alignment horizontal="left" vertical="center" wrapText="1" indent="2"/>
    </xf>
    <xf numFmtId="4" fontId="8" fillId="0" borderId="3" xfId="0" applyNumberFormat="1" applyFont="1" applyBorder="1" applyAlignment="1">
      <alignment horizontal="left" vertical="center" wrapText="1" indent="2"/>
    </xf>
    <xf numFmtId="0" fontId="9" fillId="0" borderId="3" xfId="0" applyFont="1" applyBorder="1" applyAlignment="1">
      <alignment horizontal="left" vertical="center" wrapText="1"/>
    </xf>
    <xf numFmtId="165" fontId="10" fillId="0" borderId="3" xfId="0" applyNumberFormat="1" applyFont="1" applyBorder="1" applyAlignment="1">
      <alignment horizontal="left" vertical="center" wrapText="1"/>
    </xf>
    <xf numFmtId="4" fontId="8" fillId="0" borderId="3" xfId="0" applyNumberFormat="1" applyFont="1" applyBorder="1" applyAlignment="1">
      <alignment horizontal="left" vertical="center" wrapText="1"/>
    </xf>
    <xf numFmtId="165" fontId="8" fillId="0" borderId="3" xfId="0" applyNumberFormat="1" applyFont="1" applyBorder="1" applyAlignment="1">
      <alignment horizontal="left" vertical="center" wrapText="1" indent="2"/>
    </xf>
    <xf numFmtId="165" fontId="8" fillId="0" borderId="3" xfId="0" applyNumberFormat="1" applyFont="1" applyBorder="1" applyAlignment="1">
      <alignment horizontal="left" vertical="center" wrapText="1"/>
    </xf>
    <xf numFmtId="4" fontId="10" fillId="0" borderId="3" xfId="0" applyNumberFormat="1" applyFont="1" applyBorder="1" applyAlignment="1">
      <alignment horizontal="left" vertical="center" wrapText="1"/>
    </xf>
    <xf numFmtId="3" fontId="10" fillId="0" borderId="3" xfId="0" applyNumberFormat="1" applyFont="1" applyBorder="1" applyAlignment="1">
      <alignment horizontal="left" vertical="center" wrapText="1"/>
    </xf>
    <xf numFmtId="4" fontId="11" fillId="0" borderId="3" xfId="0" applyNumberFormat="1" applyFont="1" applyBorder="1" applyAlignment="1">
      <alignment horizontal="left" vertical="center" wrapText="1"/>
    </xf>
    <xf numFmtId="3" fontId="8" fillId="0" borderId="3" xfId="0" applyNumberFormat="1" applyFont="1" applyBorder="1" applyAlignment="1">
      <alignment horizontal="left" vertical="center" wrapText="1"/>
    </xf>
    <xf numFmtId="3" fontId="11" fillId="0" borderId="3" xfId="0" applyNumberFormat="1" applyFont="1" applyBorder="1" applyAlignment="1">
      <alignment horizontal="left" vertical="center" wrapText="1"/>
    </xf>
    <xf numFmtId="165" fontId="11" fillId="0" borderId="3" xfId="0" applyNumberFormat="1" applyFont="1" applyBorder="1" applyAlignment="1">
      <alignment horizontal="left" vertical="center" wrapText="1"/>
    </xf>
    <xf numFmtId="0" fontId="5" fillId="0" borderId="3" xfId="0" applyFont="1" applyBorder="1" applyAlignment="1">
      <alignment vertical="center" wrapText="1"/>
    </xf>
    <xf numFmtId="4" fontId="7" fillId="0" borderId="3" xfId="0" applyNumberFormat="1" applyFont="1" applyBorder="1" applyAlignment="1">
      <alignment horizontal="right" vertical="center" wrapText="1"/>
    </xf>
    <xf numFmtId="3" fontId="7" fillId="0" borderId="3" xfId="0" applyNumberFormat="1" applyFont="1" applyBorder="1" applyAlignment="1">
      <alignment horizontal="right" vertical="center" wrapText="1"/>
    </xf>
    <xf numFmtId="4" fontId="8" fillId="0" borderId="3" xfId="0" applyNumberFormat="1" applyFont="1" applyBorder="1" applyAlignment="1">
      <alignment horizontal="right" vertical="center" wrapText="1"/>
    </xf>
    <xf numFmtId="3" fontId="8" fillId="0" borderId="3" xfId="0" applyNumberFormat="1" applyFont="1" applyBorder="1" applyAlignment="1">
      <alignment horizontal="right" vertical="center" wrapText="1"/>
    </xf>
    <xf numFmtId="0" fontId="16" fillId="0" borderId="4" xfId="0" applyFont="1" applyBorder="1" applyAlignment="1">
      <alignment horizontal="left" vertical="center" wrapText="1"/>
    </xf>
    <xf numFmtId="0" fontId="0" fillId="0" borderId="0" xfId="0" applyBorder="1"/>
    <xf numFmtId="0" fontId="16" fillId="0" borderId="4" xfId="0" applyFont="1" applyBorder="1" applyAlignment="1">
      <alignment vertical="center"/>
    </xf>
    <xf numFmtId="10" fontId="16" fillId="0" borderId="4" xfId="0" applyNumberFormat="1" applyFont="1" applyBorder="1" applyAlignment="1">
      <alignment vertical="center"/>
    </xf>
    <xf numFmtId="0" fontId="17" fillId="4" borderId="4" xfId="0" applyFont="1" applyFill="1" applyBorder="1"/>
    <xf numFmtId="0" fontId="18" fillId="0" borderId="4" xfId="0" applyFont="1" applyBorder="1"/>
    <xf numFmtId="0" fontId="18" fillId="0" borderId="0" xfId="0" applyFont="1"/>
    <xf numFmtId="0" fontId="17" fillId="3" borderId="4" xfId="0" applyNumberFormat="1" applyFont="1" applyFill="1" applyBorder="1" applyAlignment="1">
      <alignment horizontal="center" vertical="center" wrapText="1"/>
    </xf>
    <xf numFmtId="2" fontId="16" fillId="0" borderId="4" xfId="0" applyNumberFormat="1" applyFont="1" applyBorder="1"/>
    <xf numFmtId="4" fontId="18" fillId="0" borderId="4" xfId="0" applyNumberFormat="1" applyFont="1" applyBorder="1"/>
    <xf numFmtId="0" fontId="18" fillId="0" borderId="3" xfId="0" applyFont="1" applyBorder="1" applyAlignment="1">
      <alignment vertical="center" wrapText="1"/>
    </xf>
    <xf numFmtId="4" fontId="18" fillId="0" borderId="3" xfId="0" applyNumberFormat="1" applyFont="1" applyBorder="1" applyAlignment="1">
      <alignment horizontal="right" vertical="center" wrapText="1"/>
    </xf>
    <xf numFmtId="165" fontId="18" fillId="0" borderId="3" xfId="0" applyNumberFormat="1" applyFont="1" applyBorder="1" applyAlignment="1">
      <alignment horizontal="right" vertical="center" wrapText="1"/>
    </xf>
    <xf numFmtId="166" fontId="18" fillId="0" borderId="3" xfId="0" applyNumberFormat="1" applyFont="1" applyBorder="1" applyAlignment="1">
      <alignment horizontal="right" vertical="center" wrapText="1"/>
    </xf>
    <xf numFmtId="10" fontId="18" fillId="0" borderId="3" xfId="1" applyNumberFormat="1" applyFont="1" applyBorder="1" applyAlignment="1">
      <alignment horizontal="right" vertical="center" wrapText="1"/>
    </xf>
    <xf numFmtId="10" fontId="16" fillId="0" borderId="4" xfId="1" applyNumberFormat="1" applyFont="1" applyFill="1" applyBorder="1"/>
    <xf numFmtId="10" fontId="18" fillId="0" borderId="4" xfId="1" applyNumberFormat="1" applyFont="1" applyFill="1" applyBorder="1"/>
    <xf numFmtId="10" fontId="16" fillId="0" borderId="4" xfId="1" applyNumberFormat="1" applyFont="1" applyFill="1" applyBorder="1" applyAlignment="1">
      <alignment vertical="center"/>
    </xf>
    <xf numFmtId="4" fontId="0" fillId="0" borderId="0" xfId="0" applyNumberFormat="1"/>
    <xf numFmtId="2" fontId="0" fillId="0" borderId="0" xfId="0" applyNumberFormat="1"/>
    <xf numFmtId="44" fontId="0" fillId="0" borderId="0" xfId="2" applyFont="1"/>
    <xf numFmtId="0" fontId="18" fillId="0" borderId="3" xfId="0" applyNumberFormat="1" applyFont="1" applyBorder="1" applyAlignment="1">
      <alignment horizontal="right" vertical="center" wrapText="1"/>
    </xf>
    <xf numFmtId="0" fontId="0" fillId="0" borderId="0" xfId="0" applyNumberFormat="1"/>
    <xf numFmtId="10" fontId="0" fillId="0" borderId="0" xfId="1" applyNumberFormat="1" applyFont="1"/>
    <xf numFmtId="0" fontId="17" fillId="5" borderId="12" xfId="0" applyNumberFormat="1" applyFont="1" applyFill="1" applyBorder="1" applyAlignment="1">
      <alignment horizontal="center" vertical="center" wrapText="1"/>
    </xf>
    <xf numFmtId="10" fontId="0" fillId="0" borderId="0" xfId="0" applyNumberFormat="1"/>
    <xf numFmtId="0" fontId="20" fillId="6" borderId="14" xfId="0" applyFont="1" applyFill="1" applyBorder="1" applyAlignment="1">
      <alignment horizontal="center"/>
    </xf>
    <xf numFmtId="0" fontId="0" fillId="7" borderId="13" xfId="0" applyFill="1" applyBorder="1"/>
    <xf numFmtId="0" fontId="0" fillId="7" borderId="8" xfId="0" applyFill="1" applyBorder="1"/>
    <xf numFmtId="0" fontId="22" fillId="8" borderId="0" xfId="3" applyFont="1" applyFill="1" applyAlignment="1">
      <alignment horizontal="left"/>
    </xf>
    <xf numFmtId="0" fontId="0" fillId="7" borderId="0" xfId="0" applyFill="1"/>
    <xf numFmtId="0" fontId="13" fillId="9" borderId="0" xfId="0" applyFont="1" applyFill="1"/>
    <xf numFmtId="0" fontId="15" fillId="9" borderId="0" xfId="0" applyFont="1" applyFill="1"/>
    <xf numFmtId="0" fontId="23" fillId="8" borderId="0" xfId="3" applyFont="1" applyFill="1" applyAlignment="1">
      <alignment horizontal="center"/>
    </xf>
    <xf numFmtId="0" fontId="0" fillId="8" borderId="0" xfId="0" applyFill="1"/>
    <xf numFmtId="0" fontId="15" fillId="11" borderId="4" xfId="0" applyFont="1" applyFill="1" applyBorder="1"/>
    <xf numFmtId="14" fontId="25" fillId="10" borderId="4" xfId="0" applyNumberFormat="1" applyFont="1" applyFill="1" applyBorder="1"/>
    <xf numFmtId="0" fontId="23" fillId="0" borderId="0" xfId="3" applyFont="1" applyAlignment="1">
      <alignment horizontal="center"/>
    </xf>
    <xf numFmtId="44" fontId="2" fillId="10" borderId="0" xfId="2" applyFont="1" applyFill="1"/>
    <xf numFmtId="0" fontId="26" fillId="11" borderId="4" xfId="0" applyFont="1" applyFill="1" applyBorder="1"/>
    <xf numFmtId="0" fontId="15" fillId="11" borderId="0" xfId="0" applyFont="1" applyFill="1"/>
    <xf numFmtId="0" fontId="15" fillId="0" borderId="0" xfId="0" applyFont="1"/>
    <xf numFmtId="0" fontId="22" fillId="0" borderId="4" xfId="3" applyFont="1" applyBorder="1" applyAlignment="1">
      <alignment horizontal="left"/>
    </xf>
    <xf numFmtId="0" fontId="22" fillId="0" borderId="0" xfId="3" applyFont="1" applyAlignment="1">
      <alignment horizontal="left"/>
    </xf>
    <xf numFmtId="0" fontId="25" fillId="13" borderId="4" xfId="4" applyFont="1" applyFill="1" applyBorder="1"/>
    <xf numFmtId="0" fontId="20" fillId="6" borderId="11" xfId="0" applyFont="1" applyFill="1" applyBorder="1" applyAlignment="1">
      <alignment horizontal="center"/>
    </xf>
    <xf numFmtId="0" fontId="20" fillId="6" borderId="23" xfId="0" applyFont="1" applyFill="1" applyBorder="1" applyAlignment="1">
      <alignment horizontal="center"/>
    </xf>
    <xf numFmtId="169" fontId="0" fillId="0" borderId="0" xfId="2" applyNumberFormat="1" applyFont="1" applyFill="1" applyBorder="1" applyAlignment="1">
      <alignment horizontal="left"/>
    </xf>
    <xf numFmtId="169" fontId="0" fillId="0" borderId="0" xfId="2" applyNumberFormat="1" applyFont="1" applyFill="1" applyBorder="1"/>
    <xf numFmtId="169" fontId="0" fillId="0" borderId="24" xfId="2" applyNumberFormat="1" applyFont="1" applyFill="1" applyBorder="1"/>
    <xf numFmtId="169" fontId="0" fillId="0" borderId="0" xfId="2" applyNumberFormat="1" applyFont="1"/>
    <xf numFmtId="169" fontId="0" fillId="0" borderId="0" xfId="2" applyNumberFormat="1" applyFont="1" applyFill="1"/>
    <xf numFmtId="0" fontId="0" fillId="0" borderId="0" xfId="0" applyAlignment="1">
      <alignment vertical="top" wrapText="1"/>
    </xf>
    <xf numFmtId="169" fontId="0" fillId="12" borderId="0" xfId="2" applyNumberFormat="1" applyFont="1" applyFill="1"/>
    <xf numFmtId="44" fontId="13" fillId="9" borderId="0" xfId="2" applyFont="1" applyFill="1"/>
    <xf numFmtId="44" fontId="14" fillId="0" borderId="0" xfId="2" applyFont="1"/>
    <xf numFmtId="168" fontId="0" fillId="0" borderId="9" xfId="2" applyNumberFormat="1" applyFont="1" applyFill="1" applyBorder="1" applyAlignment="1">
      <alignment horizontal="left"/>
    </xf>
    <xf numFmtId="168" fontId="0" fillId="0" borderId="9" xfId="1" applyNumberFormat="1" applyFont="1" applyFill="1" applyBorder="1" applyAlignment="1">
      <alignment horizontal="left"/>
    </xf>
    <xf numFmtId="168" fontId="0" fillId="0" borderId="10" xfId="2" applyNumberFormat="1" applyFont="1" applyFill="1" applyBorder="1" applyAlignment="1">
      <alignment horizontal="left"/>
    </xf>
    <xf numFmtId="168" fontId="0" fillId="12" borderId="0" xfId="2" applyNumberFormat="1" applyFont="1" applyFill="1" applyBorder="1" applyAlignment="1">
      <alignment horizontal="left"/>
    </xf>
    <xf numFmtId="168" fontId="0" fillId="0" borderId="24" xfId="2" applyNumberFormat="1" applyFont="1" applyFill="1" applyBorder="1" applyAlignment="1">
      <alignment horizontal="left"/>
    </xf>
    <xf numFmtId="168" fontId="0" fillId="0" borderId="9" xfId="2" applyNumberFormat="1" applyFont="1" applyBorder="1"/>
    <xf numFmtId="168" fontId="0" fillId="0" borderId="9" xfId="0" applyNumberFormat="1" applyBorder="1"/>
    <xf numFmtId="0" fontId="28" fillId="0" borderId="4" xfId="0" applyFont="1" applyBorder="1" applyAlignment="1">
      <alignment horizontal="left"/>
    </xf>
    <xf numFmtId="0" fontId="28" fillId="0" borderId="4" xfId="0" applyFont="1" applyBorder="1" applyAlignment="1">
      <alignment horizontal="center"/>
    </xf>
    <xf numFmtId="2" fontId="28" fillId="0" borderId="4" xfId="0" applyNumberFormat="1" applyFont="1" applyBorder="1" applyAlignment="1">
      <alignment horizontal="center"/>
    </xf>
    <xf numFmtId="10" fontId="0" fillId="0" borderId="4" xfId="1" applyNumberFormat="1" applyFont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10" fontId="0" fillId="0" borderId="4" xfId="0" applyNumberFormat="1" applyBorder="1"/>
    <xf numFmtId="10" fontId="0" fillId="0" borderId="5" xfId="1" applyNumberFormat="1" applyFont="1" applyBorder="1" applyAlignment="1">
      <alignment horizontal="center"/>
    </xf>
    <xf numFmtId="0" fontId="29" fillId="14" borderId="0" xfId="0" applyFont="1" applyFill="1"/>
    <xf numFmtId="10" fontId="29" fillId="14" borderId="0" xfId="1" applyNumberFormat="1" applyFont="1" applyFill="1"/>
    <xf numFmtId="10" fontId="0" fillId="0" borderId="4" xfId="1" applyNumberFormat="1" applyFont="1" applyBorder="1"/>
    <xf numFmtId="0" fontId="15" fillId="0" borderId="0" xfId="0" applyFont="1" applyBorder="1"/>
    <xf numFmtId="2" fontId="0" fillId="10" borderId="4" xfId="0" applyNumberFormat="1" applyFill="1" applyBorder="1"/>
    <xf numFmtId="0" fontId="29" fillId="10" borderId="0" xfId="0" applyFont="1" applyFill="1"/>
    <xf numFmtId="0" fontId="29" fillId="0" borderId="0" xfId="0" applyFont="1"/>
    <xf numFmtId="10" fontId="29" fillId="0" borderId="0" xfId="0" applyNumberFormat="1" applyFont="1"/>
    <xf numFmtId="0" fontId="29" fillId="8" borderId="0" xfId="0" applyFont="1" applyFill="1"/>
    <xf numFmtId="44" fontId="0" fillId="9" borderId="0" xfId="2" applyFont="1" applyFill="1"/>
    <xf numFmtId="0" fontId="28" fillId="0" borderId="0" xfId="0" applyFont="1" applyBorder="1" applyAlignment="1">
      <alignment horizontal="left"/>
    </xf>
    <xf numFmtId="0" fontId="28" fillId="0" borderId="0" xfId="0" applyFont="1" applyBorder="1" applyAlignment="1">
      <alignment horizontal="center"/>
    </xf>
    <xf numFmtId="2" fontId="28" fillId="0" borderId="0" xfId="0" applyNumberFormat="1" applyFont="1" applyBorder="1" applyAlignment="1">
      <alignment horizontal="center"/>
    </xf>
    <xf numFmtId="10" fontId="0" fillId="0" borderId="0" xfId="1" applyNumberFormat="1" applyFon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10" fontId="0" fillId="0" borderId="0" xfId="0" applyNumberFormat="1" applyBorder="1"/>
    <xf numFmtId="0" fontId="29" fillId="0" borderId="0" xfId="0" applyFont="1" applyBorder="1"/>
    <xf numFmtId="10" fontId="29" fillId="0" borderId="0" xfId="1" applyNumberFormat="1" applyFont="1" applyFill="1" applyBorder="1"/>
    <xf numFmtId="168" fontId="0" fillId="12" borderId="0" xfId="2" applyNumberFormat="1" applyFont="1" applyFill="1" applyBorder="1"/>
    <xf numFmtId="168" fontId="0" fillId="12" borderId="24" xfId="2" applyNumberFormat="1" applyFont="1" applyFill="1" applyBorder="1"/>
    <xf numFmtId="10" fontId="0" fillId="10" borderId="4" xfId="1" applyNumberFormat="1" applyFont="1" applyFill="1" applyBorder="1"/>
    <xf numFmtId="10" fontId="0" fillId="12" borderId="4" xfId="0" applyNumberFormat="1" applyFill="1" applyBorder="1"/>
    <xf numFmtId="10" fontId="28" fillId="15" borderId="4" xfId="3" applyNumberFormat="1" applyFont="1" applyFill="1" applyBorder="1" applyAlignment="1">
      <alignment horizontal="right"/>
    </xf>
    <xf numFmtId="0" fontId="23" fillId="0" borderId="0" xfId="3" applyFont="1" applyAlignment="1">
      <alignment horizontal="left"/>
    </xf>
    <xf numFmtId="0" fontId="13" fillId="11" borderId="4" xfId="0" applyFont="1" applyFill="1" applyBorder="1"/>
    <xf numFmtId="0" fontId="15" fillId="11" borderId="4" xfId="0" applyFont="1" applyFill="1" applyBorder="1" applyAlignment="1">
      <alignment horizontal="right"/>
    </xf>
    <xf numFmtId="0" fontId="23" fillId="0" borderId="0" xfId="3" applyFont="1"/>
    <xf numFmtId="0" fontId="15" fillId="11" borderId="25" xfId="0" applyFont="1" applyFill="1" applyBorder="1" applyAlignment="1">
      <alignment horizontal="right"/>
    </xf>
    <xf numFmtId="0" fontId="15" fillId="11" borderId="25" xfId="0" applyFont="1" applyFill="1" applyBorder="1" applyAlignment="1">
      <alignment horizontal="left" vertical="top"/>
    </xf>
    <xf numFmtId="10" fontId="0" fillId="0" borderId="4" xfId="1" applyNumberFormat="1" applyFont="1" applyFill="1" applyBorder="1"/>
    <xf numFmtId="0" fontId="14" fillId="0" borderId="0" xfId="0" applyFont="1"/>
    <xf numFmtId="14" fontId="14" fillId="0" borderId="0" xfId="0" applyNumberFormat="1" applyFont="1"/>
    <xf numFmtId="0" fontId="20" fillId="6" borderId="0" xfId="0" applyFont="1" applyFill="1" applyAlignment="1">
      <alignment horizontal="center"/>
    </xf>
    <xf numFmtId="0" fontId="0" fillId="16" borderId="14" xfId="0" applyFill="1" applyBorder="1"/>
    <xf numFmtId="0" fontId="0" fillId="16" borderId="13" xfId="0" applyFill="1" applyBorder="1"/>
    <xf numFmtId="0" fontId="20" fillId="0" borderId="24" xfId="0" applyFont="1" applyBorder="1" applyAlignment="1">
      <alignment horizontal="center"/>
    </xf>
    <xf numFmtId="0" fontId="14" fillId="16" borderId="8" xfId="0" applyFont="1" applyFill="1" applyBorder="1"/>
    <xf numFmtId="169" fontId="14" fillId="0" borderId="9" xfId="2" applyNumberFormat="1" applyFont="1" applyBorder="1" applyAlignment="1">
      <alignment horizontal="left"/>
    </xf>
    <xf numFmtId="0" fontId="14" fillId="16" borderId="13" xfId="0" applyFont="1" applyFill="1" applyBorder="1"/>
    <xf numFmtId="169" fontId="30" fillId="0" borderId="0" xfId="2" applyNumberFormat="1" applyFont="1" applyFill="1" applyBorder="1" applyAlignment="1">
      <alignment horizontal="center"/>
    </xf>
    <xf numFmtId="0" fontId="0" fillId="0" borderId="12" xfId="0" applyBorder="1"/>
    <xf numFmtId="169" fontId="14" fillId="0" borderId="0" xfId="2" applyNumberFormat="1" applyFont="1" applyFill="1" applyBorder="1" applyAlignment="1">
      <alignment horizontal="left"/>
    </xf>
    <xf numFmtId="169" fontId="14" fillId="0" borderId="12" xfId="2" applyNumberFormat="1" applyFont="1" applyFill="1" applyBorder="1" applyAlignment="1">
      <alignment horizontal="left"/>
    </xf>
    <xf numFmtId="169" fontId="0" fillId="0" borderId="11" xfId="2" applyNumberFormat="1" applyFont="1" applyFill="1" applyBorder="1"/>
    <xf numFmtId="0" fontId="0" fillId="16" borderId="8" xfId="0" applyFill="1" applyBorder="1"/>
    <xf numFmtId="170" fontId="0" fillId="0" borderId="9" xfId="0" applyNumberFormat="1" applyBorder="1"/>
    <xf numFmtId="0" fontId="0" fillId="0" borderId="13" xfId="0" applyBorder="1"/>
    <xf numFmtId="10" fontId="0" fillId="0" borderId="0" xfId="1" applyNumberFormat="1" applyFont="1" applyFill="1" applyBorder="1"/>
    <xf numFmtId="170" fontId="0" fillId="0" borderId="0" xfId="0" applyNumberFormat="1"/>
    <xf numFmtId="0" fontId="21" fillId="16" borderId="0" xfId="0" applyFont="1" applyFill="1"/>
    <xf numFmtId="0" fontId="0" fillId="16" borderId="0" xfId="0" applyFill="1"/>
    <xf numFmtId="0" fontId="17" fillId="0" borderId="0" xfId="0" applyFont="1" applyBorder="1" applyAlignment="1">
      <alignment horizontal="center"/>
    </xf>
    <xf numFmtId="0" fontId="18" fillId="0" borderId="0" xfId="0" applyFont="1" applyBorder="1" applyAlignment="1">
      <alignment vertical="center" wrapText="1"/>
    </xf>
    <xf numFmtId="9" fontId="18" fillId="0" borderId="0" xfId="1" applyFont="1" applyBorder="1" applyAlignment="1">
      <alignment horizontal="right" vertical="center" wrapText="1"/>
    </xf>
    <xf numFmtId="10" fontId="18" fillId="0" borderId="0" xfId="1" applyNumberFormat="1" applyFont="1" applyBorder="1" applyAlignment="1">
      <alignment horizontal="right" vertical="center" wrapText="1"/>
    </xf>
    <xf numFmtId="10" fontId="18" fillId="0" borderId="3" xfId="0" applyNumberFormat="1" applyFont="1" applyBorder="1" applyAlignment="1">
      <alignment horizontal="right" vertical="center" wrapText="1"/>
    </xf>
    <xf numFmtId="4" fontId="18" fillId="0" borderId="0" xfId="0" applyNumberFormat="1" applyFont="1" applyBorder="1" applyAlignment="1">
      <alignment horizontal="right" vertical="center" wrapText="1"/>
    </xf>
    <xf numFmtId="44" fontId="2" fillId="0" borderId="0" xfId="2" applyFont="1" applyFill="1" applyBorder="1"/>
    <xf numFmtId="10" fontId="28" fillId="0" borderId="0" xfId="3" applyNumberFormat="1" applyFont="1" applyAlignment="1">
      <alignment horizontal="right"/>
    </xf>
    <xf numFmtId="168" fontId="29" fillId="0" borderId="9" xfId="0" applyNumberFormat="1" applyFont="1" applyBorder="1"/>
    <xf numFmtId="44" fontId="19" fillId="0" borderId="0" xfId="2" applyFont="1" applyFill="1"/>
    <xf numFmtId="10" fontId="18" fillId="0" borderId="0" xfId="0" applyNumberFormat="1" applyFont="1" applyBorder="1" applyAlignment="1">
      <alignment horizontal="right" vertical="center" wrapText="1"/>
    </xf>
    <xf numFmtId="10" fontId="18" fillId="0" borderId="0" xfId="1" applyNumberFormat="1" applyFont="1" applyFill="1" applyBorder="1" applyAlignment="1">
      <alignment horizontal="right" vertical="center" wrapText="1"/>
    </xf>
    <xf numFmtId="0" fontId="17" fillId="5" borderId="13" xfId="0" applyNumberFormat="1" applyFont="1" applyFill="1" applyBorder="1" applyAlignment="1">
      <alignment horizontal="center" vertical="center" wrapText="1"/>
    </xf>
    <xf numFmtId="0" fontId="17" fillId="0" borderId="0" xfId="0" applyNumberFormat="1" applyFont="1" applyBorder="1" applyAlignment="1">
      <alignment horizontal="center" vertical="center" wrapText="1"/>
    </xf>
    <xf numFmtId="2" fontId="0" fillId="0" borderId="0" xfId="0" applyNumberFormat="1" applyBorder="1"/>
    <xf numFmtId="14" fontId="25" fillId="10" borderId="4" xfId="0" applyNumberFormat="1" applyFont="1" applyFill="1" applyBorder="1" applyAlignment="1">
      <alignment horizontal="right"/>
    </xf>
    <xf numFmtId="44" fontId="2" fillId="10" borderId="0" xfId="2" applyFont="1" applyFill="1" applyAlignment="1">
      <alignment horizontal="right"/>
    </xf>
    <xf numFmtId="2" fontId="0" fillId="10" borderId="4" xfId="0" applyNumberFormat="1" applyFill="1" applyBorder="1" applyAlignment="1">
      <alignment horizontal="right"/>
    </xf>
    <xf numFmtId="10" fontId="0" fillId="10" borderId="4" xfId="1" applyNumberFormat="1" applyFont="1" applyFill="1" applyBorder="1" applyAlignment="1">
      <alignment horizontal="right"/>
    </xf>
    <xf numFmtId="44" fontId="13" fillId="9" borderId="0" xfId="2" applyFont="1" applyFill="1" applyAlignment="1">
      <alignment horizontal="right"/>
    </xf>
    <xf numFmtId="169" fontId="0" fillId="0" borderId="0" xfId="2" applyNumberFormat="1" applyFont="1" applyAlignment="1">
      <alignment horizontal="right"/>
    </xf>
    <xf numFmtId="0" fontId="13" fillId="9" borderId="0" xfId="0" applyFont="1" applyFill="1" applyAlignment="1">
      <alignment horizontal="right"/>
    </xf>
    <xf numFmtId="44" fontId="0" fillId="0" borderId="0" xfId="2" applyFont="1" applyFill="1"/>
    <xf numFmtId="44" fontId="0" fillId="0" borderId="0" xfId="0" applyNumberFormat="1"/>
    <xf numFmtId="44" fontId="0" fillId="10" borderId="4" xfId="2" applyFont="1" applyFill="1" applyBorder="1"/>
    <xf numFmtId="0" fontId="0" fillId="10" borderId="4" xfId="0" applyFill="1" applyBorder="1"/>
    <xf numFmtId="171" fontId="25" fillId="0" borderId="0" xfId="0" applyNumberFormat="1" applyFont="1" applyAlignment="1">
      <alignment horizontal="left"/>
    </xf>
    <xf numFmtId="0" fontId="15" fillId="11" borderId="12" xfId="0" applyFont="1" applyFill="1" applyBorder="1" applyAlignment="1">
      <alignment horizontal="right"/>
    </xf>
    <xf numFmtId="2" fontId="25" fillId="0" borderId="0" xfId="0" applyNumberFormat="1" applyFont="1" applyAlignment="1">
      <alignment horizontal="right"/>
    </xf>
    <xf numFmtId="2" fontId="0" fillId="12" borderId="4" xfId="1" applyNumberFormat="1" applyFont="1" applyFill="1" applyBorder="1"/>
    <xf numFmtId="0" fontId="13" fillId="11" borderId="4" xfId="0" applyFont="1" applyFill="1" applyBorder="1" applyAlignment="1">
      <alignment horizontal="left"/>
    </xf>
    <xf numFmtId="0" fontId="32" fillId="0" borderId="0" xfId="5" applyFont="1" applyAlignment="1">
      <alignment horizontal="left" vertical="top"/>
    </xf>
    <xf numFmtId="0" fontId="0" fillId="0" borderId="4" xfId="0" applyBorder="1"/>
    <xf numFmtId="172" fontId="32" fillId="0" borderId="0" xfId="5" applyNumberFormat="1" applyFont="1" applyAlignment="1">
      <alignment horizontal="right" vertical="top" wrapText="1"/>
    </xf>
    <xf numFmtId="169" fontId="0" fillId="12" borderId="4" xfId="2" applyNumberFormat="1" applyFont="1" applyFill="1" applyBorder="1"/>
    <xf numFmtId="44" fontId="0" fillId="12" borderId="4" xfId="2" applyFont="1" applyFill="1" applyBorder="1"/>
    <xf numFmtId="0" fontId="15" fillId="0" borderId="0" xfId="0" applyFont="1" applyAlignment="1">
      <alignment horizontal="right"/>
    </xf>
    <xf numFmtId="44" fontId="0" fillId="0" borderId="0" xfId="2" applyFont="1" applyFill="1" applyBorder="1"/>
    <xf numFmtId="0" fontId="33" fillId="0" borderId="0" xfId="0" applyFont="1" applyAlignment="1">
      <alignment vertical="top" wrapText="1"/>
    </xf>
    <xf numFmtId="2" fontId="0" fillId="0" borderId="0" xfId="2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2" fontId="14" fillId="0" borderId="4" xfId="4" applyNumberFormat="1" applyFont="1" applyBorder="1"/>
    <xf numFmtId="10" fontId="2" fillId="0" borderId="4" xfId="4" applyNumberFormat="1" applyBorder="1"/>
    <xf numFmtId="167" fontId="0" fillId="10" borderId="4" xfId="0" applyNumberFormat="1" applyFill="1" applyBorder="1" applyAlignment="1">
      <alignment horizontal="right"/>
    </xf>
    <xf numFmtId="10" fontId="0" fillId="10" borderId="4" xfId="0" applyNumberFormat="1" applyFill="1" applyBorder="1" applyAlignment="1">
      <alignment horizontal="right"/>
    </xf>
    <xf numFmtId="10" fontId="0" fillId="12" borderId="4" xfId="1" applyNumberFormat="1" applyFont="1" applyFill="1" applyBorder="1" applyAlignment="1">
      <alignment horizontal="right"/>
    </xf>
    <xf numFmtId="44" fontId="0" fillId="10" borderId="5" xfId="2" applyFont="1" applyFill="1" applyBorder="1"/>
    <xf numFmtId="0" fontId="0" fillId="0" borderId="5" xfId="0" applyBorder="1"/>
    <xf numFmtId="2" fontId="0" fillId="10" borderId="5" xfId="0" applyNumberFormat="1" applyFill="1" applyBorder="1"/>
    <xf numFmtId="2" fontId="0" fillId="10" borderId="4" xfId="1" applyNumberFormat="1" applyFont="1" applyFill="1" applyBorder="1"/>
    <xf numFmtId="2" fontId="0" fillId="10" borderId="25" xfId="0" applyNumberFormat="1" applyFill="1" applyBorder="1"/>
    <xf numFmtId="44" fontId="1" fillId="18" borderId="4" xfId="2" applyFont="1" applyFill="1" applyBorder="1"/>
    <xf numFmtId="1" fontId="0" fillId="18" borderId="4" xfId="0" applyNumberFormat="1" applyFill="1" applyBorder="1"/>
    <xf numFmtId="169" fontId="0" fillId="0" borderId="0" xfId="2" applyNumberFormat="1" applyFont="1" applyBorder="1"/>
    <xf numFmtId="168" fontId="14" fillId="12" borderId="9" xfId="2" applyNumberFormat="1" applyFont="1" applyFill="1" applyBorder="1" applyAlignment="1">
      <alignment horizontal="left"/>
    </xf>
    <xf numFmtId="168" fontId="30" fillId="0" borderId="0" xfId="2" applyNumberFormat="1" applyFont="1" applyFill="1" applyBorder="1" applyAlignment="1">
      <alignment horizontal="center"/>
    </xf>
    <xf numFmtId="168" fontId="14" fillId="0" borderId="0" xfId="2" applyNumberFormat="1" applyFont="1" applyFill="1" applyBorder="1" applyAlignment="1">
      <alignment horizontal="left"/>
    </xf>
    <xf numFmtId="168" fontId="0" fillId="0" borderId="11" xfId="2" applyNumberFormat="1" applyFont="1" applyFill="1" applyBorder="1"/>
    <xf numFmtId="168" fontId="0" fillId="0" borderId="25" xfId="2" applyNumberFormat="1" applyFont="1" applyFill="1" applyBorder="1"/>
    <xf numFmtId="10" fontId="30" fillId="0" borderId="0" xfId="1" applyNumberFormat="1" applyFont="1" applyFill="1" applyBorder="1" applyAlignment="1">
      <alignment horizontal="center"/>
    </xf>
    <xf numFmtId="44" fontId="34" fillId="0" borderId="0" xfId="2" applyFont="1" applyFill="1"/>
    <xf numFmtId="10" fontId="19" fillId="19" borderId="0" xfId="0" applyNumberFormat="1" applyFont="1" applyFill="1"/>
    <xf numFmtId="10" fontId="35" fillId="19" borderId="0" xfId="0" applyNumberFormat="1" applyFont="1" applyFill="1"/>
    <xf numFmtId="10" fontId="19" fillId="6" borderId="0" xfId="0" applyNumberFormat="1" applyFont="1" applyFill="1"/>
    <xf numFmtId="10" fontId="35" fillId="6" borderId="0" xfId="0" applyNumberFormat="1" applyFont="1" applyFill="1"/>
    <xf numFmtId="44" fontId="0" fillId="20" borderId="0" xfId="0" applyNumberFormat="1" applyFill="1"/>
    <xf numFmtId="44" fontId="29" fillId="0" borderId="0" xfId="2" applyFont="1" applyFill="1"/>
    <xf numFmtId="10" fontId="29" fillId="0" borderId="0" xfId="2" applyNumberFormat="1" applyFont="1" applyFill="1"/>
    <xf numFmtId="9" fontId="29" fillId="0" borderId="0" xfId="1" applyFont="1" applyFill="1"/>
    <xf numFmtId="9" fontId="29" fillId="0" borderId="0" xfId="0" applyNumberFormat="1" applyFont="1"/>
    <xf numFmtId="44" fontId="29" fillId="21" borderId="0" xfId="2" applyFont="1" applyFill="1"/>
    <xf numFmtId="44" fontId="29" fillId="21" borderId="0" xfId="0" applyNumberFormat="1" applyFont="1" applyFill="1"/>
    <xf numFmtId="0" fontId="29" fillId="21" borderId="0" xfId="0" applyFont="1" applyFill="1"/>
    <xf numFmtId="2" fontId="29" fillId="21" borderId="0" xfId="0" applyNumberFormat="1" applyFont="1" applyFill="1"/>
    <xf numFmtId="2" fontId="29" fillId="21" borderId="0" xfId="2" applyNumberFormat="1" applyFont="1" applyFill="1"/>
    <xf numFmtId="0" fontId="24" fillId="10" borderId="15" xfId="0" applyFont="1" applyFill="1" applyBorder="1" applyAlignment="1">
      <alignment horizontal="center" vertical="center"/>
    </xf>
    <xf numFmtId="0" fontId="24" fillId="10" borderId="16" xfId="0" applyFont="1" applyFill="1" applyBorder="1" applyAlignment="1">
      <alignment horizontal="center" vertical="center"/>
    </xf>
    <xf numFmtId="0" fontId="24" fillId="10" borderId="17" xfId="0" applyFont="1" applyFill="1" applyBorder="1" applyAlignment="1">
      <alignment horizontal="center" vertical="center"/>
    </xf>
    <xf numFmtId="0" fontId="24" fillId="10" borderId="18" xfId="0" applyFont="1" applyFill="1" applyBorder="1" applyAlignment="1">
      <alignment horizontal="center" vertical="center"/>
    </xf>
    <xf numFmtId="0" fontId="24" fillId="10" borderId="0" xfId="0" applyFont="1" applyFill="1" applyAlignment="1">
      <alignment horizontal="center" vertical="center"/>
    </xf>
    <xf numFmtId="0" fontId="24" fillId="10" borderId="19" xfId="0" applyFont="1" applyFill="1" applyBorder="1" applyAlignment="1">
      <alignment horizontal="center" vertical="center"/>
    </xf>
    <xf numFmtId="0" fontId="24" fillId="12" borderId="18" xfId="0" applyFont="1" applyFill="1" applyBorder="1" applyAlignment="1">
      <alignment horizontal="center" vertical="center"/>
    </xf>
    <xf numFmtId="0" fontId="24" fillId="12" borderId="0" xfId="0" applyFont="1" applyFill="1" applyAlignment="1">
      <alignment horizontal="center" vertical="center"/>
    </xf>
    <xf numFmtId="0" fontId="24" fillId="12" borderId="19" xfId="0" applyFont="1" applyFill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7" fillId="3" borderId="5" xfId="0" applyNumberFormat="1" applyFont="1" applyFill="1" applyBorder="1" applyAlignment="1">
      <alignment horizontal="center" vertical="center" wrapText="1"/>
    </xf>
    <xf numFmtId="0" fontId="17" fillId="3" borderId="6" xfId="0" applyNumberFormat="1" applyFont="1" applyFill="1" applyBorder="1" applyAlignment="1">
      <alignment horizontal="center" vertical="center" wrapText="1"/>
    </xf>
    <xf numFmtId="0" fontId="17" fillId="3" borderId="7" xfId="0" applyNumberFormat="1" applyFont="1" applyFill="1" applyBorder="1" applyAlignment="1">
      <alignment horizontal="center" vertical="center" wrapText="1"/>
    </xf>
    <xf numFmtId="0" fontId="17" fillId="3" borderId="4" xfId="0" applyNumberFormat="1" applyFont="1" applyFill="1" applyBorder="1" applyAlignment="1">
      <alignment horizontal="center" vertical="center" wrapText="1"/>
    </xf>
    <xf numFmtId="0" fontId="17" fillId="5" borderId="13" xfId="0" applyFont="1" applyFill="1" applyBorder="1" applyAlignment="1">
      <alignment horizontal="center"/>
    </xf>
    <xf numFmtId="0" fontId="17" fillId="5" borderId="0" xfId="0" applyFont="1" applyFill="1" applyBorder="1" applyAlignment="1">
      <alignment horizontal="center"/>
    </xf>
    <xf numFmtId="0" fontId="27" fillId="9" borderId="18" xfId="0" applyFont="1" applyFill="1" applyBorder="1" applyAlignment="1">
      <alignment horizontal="center" vertical="center"/>
    </xf>
    <xf numFmtId="0" fontId="27" fillId="9" borderId="0" xfId="0" applyFont="1" applyFill="1" applyAlignment="1">
      <alignment horizontal="center" vertical="center"/>
    </xf>
    <xf numFmtId="0" fontId="27" fillId="9" borderId="19" xfId="0" applyFont="1" applyFill="1" applyBorder="1" applyAlignment="1">
      <alignment horizontal="center" vertical="center"/>
    </xf>
    <xf numFmtId="0" fontId="27" fillId="9" borderId="20" xfId="0" applyFont="1" applyFill="1" applyBorder="1" applyAlignment="1">
      <alignment horizontal="center" vertical="center"/>
    </xf>
    <xf numFmtId="0" fontId="27" fillId="9" borderId="21" xfId="0" applyFont="1" applyFill="1" applyBorder="1" applyAlignment="1">
      <alignment horizontal="center" vertical="center"/>
    </xf>
    <xf numFmtId="0" fontId="27" fillId="9" borderId="22" xfId="0" applyFont="1" applyFill="1" applyBorder="1" applyAlignment="1">
      <alignment horizontal="center" vertical="center"/>
    </xf>
    <xf numFmtId="0" fontId="29" fillId="17" borderId="0" xfId="0" applyFont="1" applyFill="1" applyAlignment="1">
      <alignment horizontal="center"/>
    </xf>
  </cellXfs>
  <cellStyles count="6">
    <cellStyle name="Currency" xfId="2" builtinId="4"/>
    <cellStyle name="Normal" xfId="0" builtinId="0"/>
    <cellStyle name="Normal 2" xfId="3" xr:uid="{5206FCF1-5F03-4E38-A150-07B0E13C5887}"/>
    <cellStyle name="Normal 3" xfId="5" xr:uid="{5472E243-6FFE-451F-8009-5B078C841003}"/>
    <cellStyle name="Normal 4" xfId="4" xr:uid="{85786B57-2700-46D5-86A3-50D0C252AE62}"/>
    <cellStyle name="Percent" xfId="1" builtinId="5"/>
  </cellStyles>
  <dxfs count="7"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1" defaultTableStyle="TableStyleMedium2" defaultPivotStyle="PivotStyleLight16">
    <tableStyle name="TableStylePreset3_Accent1" pivot="0" count="7" xr9:uid="{9735410B-C213-4C70-A372-CDDAECC8C887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PROFITABILITY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Financials!$A$3</c:f>
              <c:strCache>
                <c:ptCount val="1"/>
                <c:pt idx="0">
                  <c:v>GPM</c:v>
                </c:pt>
              </c:strCache>
            </c:strRef>
          </c:tx>
          <c:spPr>
            <a:ln w="28575" cap="rnd">
              <a:solidFill>
                <a:schemeClr val="accent1">
                  <a:shade val="53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53000"/>
                </a:schemeClr>
              </a:solidFill>
              <a:ln w="9525">
                <a:solidFill>
                  <a:schemeClr val="accent1">
                    <a:shade val="53000"/>
                  </a:schemeClr>
                </a:solidFill>
              </a:ln>
              <a:effectLst/>
            </c:spPr>
          </c:marker>
          <c:cat>
            <c:numRef>
              <c:f>Financials!$B$2:$K$2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Financials!$B$3:$K$3</c:f>
              <c:numCache>
                <c:formatCode>0.00%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A1-4C2F-B25E-BA5626566EF2}"/>
            </c:ext>
          </c:extLst>
        </c:ser>
        <c:ser>
          <c:idx val="1"/>
          <c:order val="1"/>
          <c:tx>
            <c:strRef>
              <c:f>Financials!$A$4</c:f>
              <c:strCache>
                <c:ptCount val="1"/>
                <c:pt idx="0">
                  <c:v>NPM</c:v>
                </c:pt>
              </c:strCache>
            </c:strRef>
          </c:tx>
          <c:spPr>
            <a:ln w="28575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76000"/>
                </a:schemeClr>
              </a:solidFill>
              <a:ln w="9525">
                <a:solidFill>
                  <a:schemeClr val="accent1">
                    <a:shade val="76000"/>
                  </a:schemeClr>
                </a:solidFill>
              </a:ln>
              <a:effectLst/>
            </c:spPr>
          </c:marker>
          <c:cat>
            <c:numRef>
              <c:f>Financials!$B$2:$K$2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Financials!$B$4:$K$4</c:f>
              <c:numCache>
                <c:formatCode>0.00%</c:formatCode>
                <c:ptCount val="10"/>
                <c:pt idx="0">
                  <c:v>2.2213683629115535E-2</c:v>
                </c:pt>
                <c:pt idx="1">
                  <c:v>3.222019011492696E-2</c:v>
                </c:pt>
                <c:pt idx="2">
                  <c:v>0.22960382742991439</c:v>
                </c:pt>
                <c:pt idx="3">
                  <c:v>-3.6126403228650357E-2</c:v>
                </c:pt>
                <c:pt idx="4">
                  <c:v>3.4600167389484897E-2</c:v>
                </c:pt>
                <c:pt idx="5">
                  <c:v>3.8188751871124103E-2</c:v>
                </c:pt>
                <c:pt idx="6">
                  <c:v>4.1078367098930271E-2</c:v>
                </c:pt>
                <c:pt idx="7">
                  <c:v>-1.2101434495886871E-3</c:v>
                </c:pt>
                <c:pt idx="8">
                  <c:v>1.3236892500388179E-2</c:v>
                </c:pt>
                <c:pt idx="9">
                  <c:v>2.5821099417004983E-2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A1-4C2F-B25E-BA5626566EF2}"/>
            </c:ext>
          </c:extLst>
        </c:ser>
        <c:ser>
          <c:idx val="2"/>
          <c:order val="2"/>
          <c:tx>
            <c:strRef>
              <c:f>Financials!$A$5</c:f>
              <c:strCache>
                <c:ptCount val="1"/>
                <c:pt idx="0">
                  <c:v>ROA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Financials!$B$2:$K$2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Financials!$B$5:$K$5</c:f>
              <c:numCache>
                <c:formatCode>0.00%</c:formatCode>
                <c:ptCount val="10"/>
                <c:pt idx="0">
                  <c:v>1.5475473465836847E-2</c:v>
                </c:pt>
                <c:pt idx="1">
                  <c:v>2.4151645933824149E-2</c:v>
                </c:pt>
                <c:pt idx="2">
                  <c:v>0.15069134578306617</c:v>
                </c:pt>
                <c:pt idx="3">
                  <c:v>-2.8016651979701605E-2</c:v>
                </c:pt>
                <c:pt idx="4">
                  <c:v>2.4743922843578688E-2</c:v>
                </c:pt>
                <c:pt idx="5">
                  <c:v>2.914060375305956E-2</c:v>
                </c:pt>
                <c:pt idx="6">
                  <c:v>2.1422615076717812E-2</c:v>
                </c:pt>
                <c:pt idx="7">
                  <c:v>-7.0417520512069877E-4</c:v>
                </c:pt>
                <c:pt idx="8">
                  <c:v>8.4219018844314195E-3</c:v>
                </c:pt>
                <c:pt idx="9">
                  <c:v>1.0727761079490951E-2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A1-4C2F-B25E-BA5626566EF2}"/>
            </c:ext>
          </c:extLst>
        </c:ser>
        <c:ser>
          <c:idx val="3"/>
          <c:order val="3"/>
          <c:tx>
            <c:strRef>
              <c:f>Financials!$A$6</c:f>
              <c:strCache>
                <c:ptCount val="1"/>
                <c:pt idx="0">
                  <c:v>ROE</c:v>
                </c:pt>
              </c:strCache>
            </c:strRef>
          </c:tx>
          <c:spPr>
            <a:ln w="28575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cat>
            <c:numRef>
              <c:f>Financials!$B$2:$K$2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Financials!$B$6:$K$6</c:f>
              <c:numCache>
                <c:formatCode>0.00%</c:formatCode>
                <c:ptCount val="10"/>
                <c:pt idx="0">
                  <c:v>2.6383342840844266E-2</c:v>
                </c:pt>
                <c:pt idx="1">
                  <c:v>4.1897883085234448E-2</c:v>
                </c:pt>
                <c:pt idx="2">
                  <c:v>0.26554385283696547</c:v>
                </c:pt>
                <c:pt idx="3">
                  <c:v>-5.1446586502245907E-2</c:v>
                </c:pt>
                <c:pt idx="4">
                  <c:v>5.0576949812317536E-2</c:v>
                </c:pt>
                <c:pt idx="5">
                  <c:v>5.5887338636067284E-2</c:v>
                </c:pt>
                <c:pt idx="6">
                  <c:v>4.3580783063038614E-2</c:v>
                </c:pt>
                <c:pt idx="7">
                  <c:v>-1.4836547918715723E-3</c:v>
                </c:pt>
                <c:pt idx="8">
                  <c:v>1.6978125933547982E-2</c:v>
                </c:pt>
                <c:pt idx="9">
                  <c:v>2.1742652538803017E-2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7A1-4C2F-B25E-BA5626566EF2}"/>
            </c:ext>
          </c:extLst>
        </c:ser>
        <c:ser>
          <c:idx val="4"/>
          <c:order val="4"/>
          <c:tx>
            <c:strRef>
              <c:f>Financials!$A$7</c:f>
              <c:strCache>
                <c:ptCount val="1"/>
                <c:pt idx="0">
                  <c:v>OPM</c:v>
                </c:pt>
              </c:strCache>
            </c:strRef>
          </c:tx>
          <c:spPr>
            <a:ln w="28575" cap="rnd">
              <a:solidFill>
                <a:schemeClr val="accent1">
                  <a:tint val="54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54000"/>
                </a:schemeClr>
              </a:solidFill>
              <a:ln w="9525">
                <a:solidFill>
                  <a:schemeClr val="accent1">
                    <a:tint val="54000"/>
                  </a:schemeClr>
                </a:solidFill>
              </a:ln>
              <a:effectLst/>
            </c:spPr>
          </c:marker>
          <c:cat>
            <c:numRef>
              <c:f>Financials!$B$2:$K$2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Financials!$B$7:$K$7</c:f>
              <c:numCache>
                <c:formatCode>0.00%</c:formatCode>
                <c:ptCount val="10"/>
                <c:pt idx="0">
                  <c:v>5.1271583295309911E-2</c:v>
                </c:pt>
                <c:pt idx="1">
                  <c:v>5.7869899975163133E-2</c:v>
                </c:pt>
                <c:pt idx="2">
                  <c:v>0.29689860668121537</c:v>
                </c:pt>
                <c:pt idx="3">
                  <c:v>-2.1746370707050915E-2</c:v>
                </c:pt>
                <c:pt idx="4">
                  <c:v>7.633340941946283E-2</c:v>
                </c:pt>
                <c:pt idx="5">
                  <c:v>7.874759426901419E-2</c:v>
                </c:pt>
                <c:pt idx="6">
                  <c:v>6.4839540126960776E-2</c:v>
                </c:pt>
                <c:pt idx="7">
                  <c:v>1.50656060915086E-2</c:v>
                </c:pt>
                <c:pt idx="8">
                  <c:v>6.1371047047254282E-2</c:v>
                </c:pt>
                <c:pt idx="9">
                  <c:v>1.722047986454505E-2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7A1-4C2F-B25E-BA5626566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0779568"/>
        <c:axId val="760781008"/>
      </c:lineChart>
      <c:catAx>
        <c:axId val="76077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781008"/>
        <c:crosses val="autoZero"/>
        <c:auto val="1"/>
        <c:lblAlgn val="ctr"/>
        <c:lblOffset val="100"/>
        <c:noMultiLvlLbl val="0"/>
      </c:catAx>
      <c:valAx>
        <c:axId val="760781008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779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LIquidity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Financials!$A$12</c:f>
              <c:strCache>
                <c:ptCount val="1"/>
                <c:pt idx="0">
                  <c:v>Current Ratio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Financials!$B$11:$K$11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Financials!$B$12:$K$12</c:f>
              <c:numCache>
                <c:formatCode>0.00</c:formatCode>
                <c:ptCount val="10"/>
                <c:pt idx="0">
                  <c:v>1.8350112519246713</c:v>
                </c:pt>
                <c:pt idx="1">
                  <c:v>1.781668580176043</c:v>
                </c:pt>
                <c:pt idx="2">
                  <c:v>1.684667673716012</c:v>
                </c:pt>
                <c:pt idx="3">
                  <c:v>1.6739095702188846</c:v>
                </c:pt>
                <c:pt idx="4">
                  <c:v>0.86763513275272375</c:v>
                </c:pt>
                <c:pt idx="5">
                  <c:v>1.7532967750359054</c:v>
                </c:pt>
                <c:pt idx="6">
                  <c:v>1.3515457533463535</c:v>
                </c:pt>
                <c:pt idx="7">
                  <c:v>1.3336112732427248</c:v>
                </c:pt>
                <c:pt idx="8">
                  <c:v>1.3861095840205242</c:v>
                </c:pt>
                <c:pt idx="9">
                  <c:v>1.6763276640055536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95-47D2-B382-1E92AEDD4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9513760"/>
        <c:axId val="759510400"/>
      </c:lineChart>
      <c:catAx>
        <c:axId val="75951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510400"/>
        <c:crosses val="autoZero"/>
        <c:auto val="1"/>
        <c:lblAlgn val="ctr"/>
        <c:lblOffset val="100"/>
        <c:noMultiLvlLbl val="0"/>
      </c:catAx>
      <c:valAx>
        <c:axId val="759510400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51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AR COLLECTION 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Financials!$A$19</c:f>
              <c:strCache>
                <c:ptCount val="1"/>
                <c:pt idx="0">
                  <c:v>Average Receivables Collection Days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Financials!$B$17:$K$17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Financials!$B$19:$K$19</c:f>
              <c:numCache>
                <c:formatCode>#,##0.0</c:formatCode>
                <c:ptCount val="10"/>
                <c:pt idx="0">
                  <c:v>110.98</c:v>
                </c:pt>
                <c:pt idx="1">
                  <c:v>107.07</c:v>
                </c:pt>
                <c:pt idx="2">
                  <c:v>104.76</c:v>
                </c:pt>
                <c:pt idx="3">
                  <c:v>107.72</c:v>
                </c:pt>
                <c:pt idx="4">
                  <c:v>119.98</c:v>
                </c:pt>
                <c:pt idx="5">
                  <c:v>124.19</c:v>
                </c:pt>
                <c:pt idx="6">
                  <c:v>123.79</c:v>
                </c:pt>
                <c:pt idx="7">
                  <c:v>121.8</c:v>
                </c:pt>
                <c:pt idx="8">
                  <c:v>123.82</c:v>
                </c:pt>
                <c:pt idx="9">
                  <c:v>144.33000000000001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8D-455A-8292-74E879803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5457824"/>
        <c:axId val="505458784"/>
      </c:lineChart>
      <c:catAx>
        <c:axId val="50545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458784"/>
        <c:crosses val="autoZero"/>
        <c:auto val="1"/>
        <c:lblAlgn val="ctr"/>
        <c:lblOffset val="100"/>
        <c:noMultiLvlLbl val="0"/>
      </c:catAx>
      <c:valAx>
        <c:axId val="505458784"/>
        <c:scaling>
          <c:orientation val="minMax"/>
        </c:scaling>
        <c:delete val="0"/>
        <c:axPos val="l"/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457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LEVERAGE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Financials!$A$24</c:f>
              <c:strCache>
                <c:ptCount val="1"/>
                <c:pt idx="0">
                  <c:v>TDTA</c:v>
                </c:pt>
              </c:strCache>
            </c:strRef>
          </c:tx>
          <c:spPr>
            <a:ln w="34925" cap="rnd">
              <a:solidFill>
                <a:schemeClr val="accent2">
                  <a:shade val="58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Financials!$B$23:$K$23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Financials!$B$24:$K$24</c:f>
              <c:numCache>
                <c:formatCode>[&gt;=100]##,##0.0\%;[&lt;=-100]\-##,##0.0\%;##,##0.0\%</c:formatCode>
                <c:ptCount val="10"/>
                <c:pt idx="0">
                  <c:v>22.83</c:v>
                </c:pt>
                <c:pt idx="1">
                  <c:v>20.98</c:v>
                </c:pt>
                <c:pt idx="2">
                  <c:v>20.77</c:v>
                </c:pt>
                <c:pt idx="3">
                  <c:v>19.66</c:v>
                </c:pt>
                <c:pt idx="4">
                  <c:v>29.14</c:v>
                </c:pt>
                <c:pt idx="5">
                  <c:v>25.29</c:v>
                </c:pt>
                <c:pt idx="6">
                  <c:v>29.86</c:v>
                </c:pt>
                <c:pt idx="7">
                  <c:v>29.92</c:v>
                </c:pt>
                <c:pt idx="8">
                  <c:v>29.27</c:v>
                </c:pt>
                <c:pt idx="9">
                  <c:v>25.55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C4-4F7E-A2DD-B9A929D08FFF}"/>
            </c:ext>
          </c:extLst>
        </c:ser>
        <c:ser>
          <c:idx val="1"/>
          <c:order val="1"/>
          <c:tx>
            <c:strRef>
              <c:f>Financials!$A$25</c:f>
              <c:strCache>
                <c:ptCount val="1"/>
                <c:pt idx="0">
                  <c:v>TDTC</c:v>
                </c:pt>
              </c:strCache>
            </c:strRef>
          </c:tx>
          <c:spPr>
            <a:ln w="34925" cap="rnd">
              <a:solidFill>
                <a:schemeClr val="accent2">
                  <a:shade val="86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Financials!$B$23:$K$23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Financials!$B$25:$K$25</c:f>
              <c:numCache>
                <c:formatCode>[&gt;=100]##,##0.0\%;[&lt;=-100]\-##,##0.0\%;##,##0.0\%</c:formatCode>
                <c:ptCount val="10"/>
                <c:pt idx="0">
                  <c:v>28.01</c:v>
                </c:pt>
                <c:pt idx="1">
                  <c:v>26.68</c:v>
                </c:pt>
                <c:pt idx="2">
                  <c:v>26.79</c:v>
                </c:pt>
                <c:pt idx="3">
                  <c:v>26.52</c:v>
                </c:pt>
                <c:pt idx="4">
                  <c:v>37.33</c:v>
                </c:pt>
                <c:pt idx="5">
                  <c:v>32.659999999999997</c:v>
                </c:pt>
                <c:pt idx="6">
                  <c:v>37.67</c:v>
                </c:pt>
                <c:pt idx="7">
                  <c:v>38.659999999999997</c:v>
                </c:pt>
                <c:pt idx="8">
                  <c:v>37.11</c:v>
                </c:pt>
                <c:pt idx="9">
                  <c:v>34.119999999999997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C4-4F7E-A2DD-B9A929D08FFF}"/>
            </c:ext>
          </c:extLst>
        </c:ser>
        <c:ser>
          <c:idx val="2"/>
          <c:order val="2"/>
          <c:tx>
            <c:strRef>
              <c:f>Financials!$A$26</c:f>
              <c:strCache>
                <c:ptCount val="1"/>
                <c:pt idx="0">
                  <c:v>TDTE</c:v>
                </c:pt>
              </c:strCache>
            </c:strRef>
          </c:tx>
          <c:spPr>
            <a:ln w="34925" cap="rnd">
              <a:solidFill>
                <a:schemeClr val="accent2">
                  <a:tint val="86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Financials!$B$23:$K$23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Financials!$B$26:$K$26</c:f>
              <c:numCache>
                <c:formatCode>[&gt;=100]##,##0.0\%;[&lt;=-100]\-##,##0.0\%;##,##0.0\%</c:formatCode>
                <c:ptCount val="10"/>
                <c:pt idx="0">
                  <c:v>38.909999999999997</c:v>
                </c:pt>
                <c:pt idx="1">
                  <c:v>36.39</c:v>
                </c:pt>
                <c:pt idx="2">
                  <c:v>36.6</c:v>
                </c:pt>
                <c:pt idx="3">
                  <c:v>36.090000000000003</c:v>
                </c:pt>
                <c:pt idx="4">
                  <c:v>59.57</c:v>
                </c:pt>
                <c:pt idx="5">
                  <c:v>48.51</c:v>
                </c:pt>
                <c:pt idx="6">
                  <c:v>60.75</c:v>
                </c:pt>
                <c:pt idx="7">
                  <c:v>63.04</c:v>
                </c:pt>
                <c:pt idx="8">
                  <c:v>59.01</c:v>
                </c:pt>
                <c:pt idx="9">
                  <c:v>51.79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C4-4F7E-A2DD-B9A929D08FFF}"/>
            </c:ext>
          </c:extLst>
        </c:ser>
        <c:ser>
          <c:idx val="3"/>
          <c:order val="3"/>
          <c:tx>
            <c:strRef>
              <c:f>Financials!$A$27</c:f>
              <c:strCache>
                <c:ptCount val="1"/>
                <c:pt idx="0">
                  <c:v>ICR</c:v>
                </c:pt>
              </c:strCache>
            </c:strRef>
          </c:tx>
          <c:spPr>
            <a:ln w="34925" cap="rnd">
              <a:solidFill>
                <a:schemeClr val="accent2">
                  <a:tint val="58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Financials!$B$23:$K$23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Financials!$B$27:$K$27</c:f>
              <c:numCache>
                <c:formatCode>#,##0.00</c:formatCode>
                <c:ptCount val="10"/>
                <c:pt idx="0">
                  <c:v>2.2000000000000002</c:v>
                </c:pt>
                <c:pt idx="1">
                  <c:v>7.3</c:v>
                </c:pt>
                <c:pt idx="2">
                  <c:v>7.49</c:v>
                </c:pt>
                <c:pt idx="3">
                  <c:v>1.87</c:v>
                </c:pt>
                <c:pt idx="4">
                  <c:v>3.78</c:v>
                </c:pt>
                <c:pt idx="5">
                  <c:v>6.39</c:v>
                </c:pt>
                <c:pt idx="6">
                  <c:v>7.4</c:v>
                </c:pt>
                <c:pt idx="7">
                  <c:v>4.38</c:v>
                </c:pt>
                <c:pt idx="8">
                  <c:v>3.14</c:v>
                </c:pt>
                <c:pt idx="9">
                  <c:v>1.79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AC4-4F7E-A2DD-B9A929D08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0777888"/>
        <c:axId val="510775968"/>
      </c:lineChart>
      <c:catAx>
        <c:axId val="51077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775968"/>
        <c:crosses val="autoZero"/>
        <c:auto val="1"/>
        <c:lblAlgn val="ctr"/>
        <c:lblOffset val="100"/>
        <c:noMultiLvlLbl val="0"/>
      </c:catAx>
      <c:valAx>
        <c:axId val="51077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&gt;=100]##,##0.0\%;[&lt;=-100]\-##,##0.0\%;##,##0.0\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77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Free Cash Flow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Process_CSCF!$A$5</c:f>
              <c:strCache>
                <c:ptCount val="1"/>
                <c:pt idx="0">
                  <c:v>FCF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numRef>
              <c:f>Process_CSCF!$B$2:$K$2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Process_CSCF!$B$5:$K$5</c:f>
              <c:numCache>
                <c:formatCode>General</c:formatCode>
                <c:ptCount val="10"/>
                <c:pt idx="0">
                  <c:v>35.82</c:v>
                </c:pt>
                <c:pt idx="1">
                  <c:v>63.009999999999991</c:v>
                </c:pt>
                <c:pt idx="2">
                  <c:v>46.050000000000004</c:v>
                </c:pt>
                <c:pt idx="3">
                  <c:v>37.950000000000003</c:v>
                </c:pt>
                <c:pt idx="4">
                  <c:v>46.64</c:v>
                </c:pt>
                <c:pt idx="5">
                  <c:v>68.72</c:v>
                </c:pt>
                <c:pt idx="6">
                  <c:v>50.35</c:v>
                </c:pt>
                <c:pt idx="7">
                  <c:v>71.650000000000006</c:v>
                </c:pt>
                <c:pt idx="8">
                  <c:v>66.600000000000009</c:v>
                </c:pt>
                <c:pt idx="9">
                  <c:v>78.53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7D-4307-8E57-61A87CB91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56612816"/>
        <c:axId val="656615216"/>
      </c:barChart>
      <c:catAx>
        <c:axId val="65661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615216"/>
        <c:crosses val="autoZero"/>
        <c:auto val="1"/>
        <c:lblAlgn val="ctr"/>
        <c:lblOffset val="100"/>
        <c:noMultiLvlLbl val="0"/>
      </c:catAx>
      <c:valAx>
        <c:axId val="656615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612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180702</xdr:colOff>
      <xdr:row>0</xdr:row>
      <xdr:rowOff>156210</xdr:rowOff>
    </xdr:from>
    <xdr:to>
      <xdr:col>18</xdr:col>
      <xdr:colOff>485502</xdr:colOff>
      <xdr:row>15</xdr:row>
      <xdr:rowOff>156210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F0F47A-1276-6125-7240-A834C11FCC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390796</xdr:colOff>
      <xdr:row>20</xdr:row>
      <xdr:rowOff>7076</xdr:rowOff>
    </xdr:from>
    <xdr:to>
      <xdr:col>19</xdr:col>
      <xdr:colOff>85996</xdr:colOff>
      <xdr:row>34</xdr:row>
      <xdr:rowOff>21772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536443-F98E-3A92-03BA-8CD5C11180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367393</xdr:colOff>
      <xdr:row>1</xdr:row>
      <xdr:rowOff>87086</xdr:rowOff>
    </xdr:from>
    <xdr:to>
      <xdr:col>27</xdr:col>
      <xdr:colOff>62593</xdr:colOff>
      <xdr:row>16</xdr:row>
      <xdr:rowOff>115661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4D7CA41-FD18-0EEB-0A87-4F8E460987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601436</xdr:colOff>
      <xdr:row>18</xdr:row>
      <xdr:rowOff>138113</xdr:rowOff>
    </xdr:from>
    <xdr:to>
      <xdr:col>27</xdr:col>
      <xdr:colOff>296636</xdr:colOff>
      <xdr:row>33</xdr:row>
      <xdr:rowOff>166688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37E2CC1-ED8A-1E20-A293-063CCCBD94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110289</xdr:colOff>
      <xdr:row>15</xdr:row>
      <xdr:rowOff>40105</xdr:rowOff>
    </xdr:from>
    <xdr:to>
      <xdr:col>18</xdr:col>
      <xdr:colOff>180476</xdr:colOff>
      <xdr:row>31</xdr:row>
      <xdr:rowOff>110290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855E81-5C35-42DD-A6A2-B7092CD73B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52"/>
  <sheetViews>
    <sheetView topLeftCell="A10" zoomScale="80" workbookViewId="0">
      <selection activeCell="E22" sqref="E22"/>
    </sheetView>
  </sheetViews>
  <sheetFormatPr defaultRowHeight="14.4" outlineLevelRow="1"/>
  <cols>
    <col min="1" max="1" width="85.6640625" customWidth="1"/>
    <col min="2" max="11" width="15.6640625" customWidth="1"/>
  </cols>
  <sheetData>
    <row r="1" spans="1:11" ht="1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" customHeight="1">
      <c r="A2" s="3" t="s">
        <v>1</v>
      </c>
      <c r="B2" s="4" t="s">
        <v>2</v>
      </c>
    </row>
    <row r="3" spans="1:11">
      <c r="A3" s="3" t="s">
        <v>3</v>
      </c>
      <c r="B3" s="3" t="s">
        <v>4</v>
      </c>
    </row>
    <row r="4" spans="1:11">
      <c r="A4" s="3" t="s">
        <v>5</v>
      </c>
      <c r="B4" s="3" t="s">
        <v>4</v>
      </c>
    </row>
    <row r="5" spans="1:11">
      <c r="A5" s="3" t="s">
        <v>6</v>
      </c>
      <c r="B5" s="3" t="s">
        <v>7</v>
      </c>
    </row>
    <row r="6" spans="1:11">
      <c r="A6" s="3" t="s">
        <v>8</v>
      </c>
      <c r="B6" s="3" t="s">
        <v>9</v>
      </c>
    </row>
    <row r="7" spans="1:11">
      <c r="A7" s="3" t="s">
        <v>10</v>
      </c>
      <c r="B7" s="3" t="s">
        <v>11</v>
      </c>
    </row>
    <row r="8" spans="1:11">
      <c r="A8" s="3" t="s">
        <v>12</v>
      </c>
      <c r="B8" s="3" t="s">
        <v>13</v>
      </c>
    </row>
    <row r="9" spans="1:11">
      <c r="A9" s="3" t="s">
        <v>14</v>
      </c>
      <c r="B9" s="3" t="s">
        <v>15</v>
      </c>
    </row>
    <row r="10" spans="1:11">
      <c r="A10" s="3" t="s">
        <v>16</v>
      </c>
      <c r="B10" s="5">
        <v>46068.683553298601</v>
      </c>
    </row>
    <row r="11" spans="1:11">
      <c r="A11" s="6" t="s">
        <v>17</v>
      </c>
      <c r="B11" s="244" t="s">
        <v>18</v>
      </c>
      <c r="C11" s="244" t="s">
        <v>19</v>
      </c>
      <c r="D11" s="244" t="s">
        <v>20</v>
      </c>
      <c r="E11" s="244" t="s">
        <v>21</v>
      </c>
      <c r="F11" s="244" t="s">
        <v>22</v>
      </c>
      <c r="G11" s="244" t="s">
        <v>23</v>
      </c>
      <c r="H11" s="244" t="s">
        <v>24</v>
      </c>
      <c r="I11" s="244" t="s">
        <v>25</v>
      </c>
      <c r="J11" s="244" t="s">
        <v>26</v>
      </c>
      <c r="K11" s="244" t="s">
        <v>27</v>
      </c>
    </row>
    <row r="12" spans="1:11" ht="15" customHeight="1" outlineLevel="1">
      <c r="A12" s="7" t="s">
        <v>28</v>
      </c>
      <c r="B12" s="242">
        <v>42369</v>
      </c>
      <c r="C12" s="242">
        <v>42735</v>
      </c>
      <c r="D12" s="242">
        <v>43100</v>
      </c>
      <c r="E12" s="242">
        <v>43465</v>
      </c>
      <c r="F12" s="242">
        <v>43830</v>
      </c>
      <c r="G12" s="242">
        <v>44196</v>
      </c>
      <c r="H12" s="242">
        <v>44561</v>
      </c>
      <c r="I12" s="242">
        <v>44926</v>
      </c>
      <c r="J12" s="242">
        <v>45291</v>
      </c>
      <c r="K12" s="242">
        <v>45657</v>
      </c>
    </row>
    <row r="13" spans="1:11" ht="15" customHeight="1" outlineLevel="1">
      <c r="A13" s="7" t="s">
        <v>29</v>
      </c>
      <c r="B13" s="242">
        <v>42368</v>
      </c>
      <c r="C13" s="242">
        <v>42734</v>
      </c>
      <c r="D13" s="242">
        <v>43189</v>
      </c>
      <c r="E13" s="242">
        <v>43464</v>
      </c>
      <c r="F13" s="242">
        <v>43829</v>
      </c>
      <c r="G13" s="242">
        <v>44195</v>
      </c>
      <c r="H13" s="242">
        <v>44560</v>
      </c>
      <c r="I13" s="242">
        <v>44925</v>
      </c>
      <c r="J13" s="242">
        <v>45290</v>
      </c>
      <c r="K13" s="242">
        <v>45656</v>
      </c>
    </row>
    <row r="14" spans="1:11" ht="15" customHeight="1" outlineLevel="1">
      <c r="A14" s="7" t="s">
        <v>30</v>
      </c>
      <c r="B14" s="243" t="s">
        <v>31</v>
      </c>
      <c r="C14" s="243" t="s">
        <v>31</v>
      </c>
      <c r="D14" s="243" t="s">
        <v>31</v>
      </c>
      <c r="E14" s="243" t="s">
        <v>31</v>
      </c>
      <c r="F14" s="243" t="s">
        <v>31</v>
      </c>
      <c r="G14" s="243" t="s">
        <v>31</v>
      </c>
      <c r="H14" s="243" t="s">
        <v>31</v>
      </c>
      <c r="I14" s="243" t="s">
        <v>31</v>
      </c>
      <c r="J14" s="243" t="s">
        <v>31</v>
      </c>
      <c r="K14" s="243" t="s">
        <v>31</v>
      </c>
    </row>
    <row r="15" spans="1:11" ht="15" customHeight="1" outlineLevel="1">
      <c r="A15" s="7" t="s">
        <v>32</v>
      </c>
      <c r="B15" s="243" t="s">
        <v>33</v>
      </c>
      <c r="C15" s="243" t="s">
        <v>33</v>
      </c>
      <c r="D15" s="243" t="s">
        <v>33</v>
      </c>
      <c r="E15" s="243" t="s">
        <v>33</v>
      </c>
      <c r="F15" s="243" t="s">
        <v>33</v>
      </c>
      <c r="G15" s="243" t="s">
        <v>33</v>
      </c>
      <c r="H15" s="243" t="s">
        <v>33</v>
      </c>
      <c r="I15" s="243" t="s">
        <v>33</v>
      </c>
      <c r="J15" s="243" t="s">
        <v>33</v>
      </c>
      <c r="K15" s="243" t="s">
        <v>33</v>
      </c>
    </row>
    <row r="17" spans="1:11">
      <c r="A17" s="8" t="s">
        <v>34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>
      <c r="A18" s="8" t="s">
        <v>35</v>
      </c>
      <c r="B18" s="9" t="s">
        <v>36</v>
      </c>
      <c r="C18" s="9" t="s">
        <v>37</v>
      </c>
      <c r="D18" s="9" t="s">
        <v>38</v>
      </c>
      <c r="E18" s="9" t="s">
        <v>39</v>
      </c>
      <c r="F18" s="9" t="s">
        <v>40</v>
      </c>
      <c r="G18" s="9" t="s">
        <v>41</v>
      </c>
      <c r="H18" s="9" t="s">
        <v>42</v>
      </c>
      <c r="I18" s="9" t="s">
        <v>43</v>
      </c>
      <c r="J18" s="9" t="s">
        <v>44</v>
      </c>
      <c r="K18" s="9" t="s">
        <v>45</v>
      </c>
    </row>
    <row r="19" spans="1:11" ht="15" customHeight="1">
      <c r="A19" s="10" t="s">
        <v>46</v>
      </c>
      <c r="B19" s="11">
        <v>19.600000000000001</v>
      </c>
      <c r="C19" s="11">
        <v>43.67</v>
      </c>
      <c r="D19" s="11">
        <v>28.07</v>
      </c>
      <c r="E19" s="11">
        <v>48.74</v>
      </c>
      <c r="F19" s="11">
        <v>60.26</v>
      </c>
      <c r="G19" s="11">
        <v>69.64</v>
      </c>
      <c r="H19" s="11">
        <v>51.27</v>
      </c>
      <c r="I19" s="11">
        <v>55.27</v>
      </c>
      <c r="J19" s="11">
        <v>41.89</v>
      </c>
      <c r="K19" s="11">
        <v>41.88</v>
      </c>
    </row>
    <row r="20" spans="1:11" ht="15" customHeight="1">
      <c r="A20" s="10" t="s">
        <v>47</v>
      </c>
      <c r="B20" s="12"/>
      <c r="C20" s="12"/>
      <c r="D20" s="12"/>
      <c r="E20" s="12"/>
      <c r="F20" s="12"/>
      <c r="G20" s="12"/>
      <c r="H20" s="13">
        <v>49.54</v>
      </c>
      <c r="I20" s="13">
        <v>54.77</v>
      </c>
      <c r="J20" s="13">
        <v>41.89</v>
      </c>
      <c r="K20" s="12"/>
    </row>
    <row r="21" spans="1:11" ht="15" customHeight="1">
      <c r="A21" s="10" t="s">
        <v>48</v>
      </c>
      <c r="B21" s="12"/>
      <c r="C21" s="12"/>
      <c r="D21" s="12"/>
      <c r="E21" s="12"/>
      <c r="F21" s="12"/>
      <c r="G21" s="12"/>
      <c r="H21" s="13">
        <v>1.74</v>
      </c>
      <c r="I21" s="13">
        <v>0.5</v>
      </c>
      <c r="J21" s="14">
        <v>0</v>
      </c>
      <c r="K21" s="12"/>
    </row>
    <row r="22" spans="1:11" ht="15" customHeight="1">
      <c r="A22" s="10" t="s">
        <v>49</v>
      </c>
      <c r="B22" s="15">
        <v>134.5</v>
      </c>
      <c r="C22" s="15">
        <v>137.4</v>
      </c>
      <c r="D22" s="15">
        <v>143.66999999999999</v>
      </c>
      <c r="E22" s="15">
        <v>154.30000000000001</v>
      </c>
      <c r="F22" s="15">
        <v>181.96</v>
      </c>
      <c r="G22" s="15">
        <v>193.07</v>
      </c>
      <c r="H22" s="15">
        <v>223.32</v>
      </c>
      <c r="I22" s="15">
        <v>255.52</v>
      </c>
      <c r="J22" s="15">
        <v>250.46</v>
      </c>
      <c r="K22" s="15">
        <v>144.81</v>
      </c>
    </row>
    <row r="23" spans="1:11" ht="15" customHeight="1">
      <c r="A23" s="10" t="s">
        <v>50</v>
      </c>
      <c r="B23" s="16">
        <v>104.11</v>
      </c>
      <c r="C23" s="16">
        <v>109.98</v>
      </c>
      <c r="D23" s="16">
        <v>108.74</v>
      </c>
      <c r="E23" s="12"/>
      <c r="F23" s="12"/>
      <c r="G23" s="12"/>
      <c r="H23" s="12"/>
      <c r="I23" s="12"/>
      <c r="J23" s="12"/>
      <c r="K23" s="12"/>
    </row>
    <row r="24" spans="1:11" ht="15" customHeight="1">
      <c r="A24" s="10" t="s">
        <v>51</v>
      </c>
      <c r="B24" s="17">
        <v>-8.14</v>
      </c>
      <c r="C24" s="17">
        <v>-8.19</v>
      </c>
      <c r="D24" s="17">
        <v>-7.85</v>
      </c>
      <c r="E24" s="12"/>
      <c r="F24" s="12"/>
      <c r="G24" s="12"/>
      <c r="H24" s="12"/>
      <c r="I24" s="12"/>
      <c r="J24" s="12"/>
      <c r="K24" s="12"/>
    </row>
    <row r="25" spans="1:11" ht="15" customHeight="1">
      <c r="A25" s="10" t="s">
        <v>52</v>
      </c>
      <c r="B25" s="13">
        <v>28.71</v>
      </c>
      <c r="C25" s="13">
        <v>26.01</v>
      </c>
      <c r="D25" s="13">
        <v>32.450000000000003</v>
      </c>
      <c r="E25" s="12"/>
      <c r="F25" s="12"/>
      <c r="G25" s="12"/>
      <c r="H25" s="12"/>
      <c r="I25" s="12"/>
      <c r="J25" s="12"/>
      <c r="K25" s="12"/>
    </row>
    <row r="26" spans="1:11" ht="15" customHeight="1">
      <c r="A26" s="10" t="s">
        <v>53</v>
      </c>
      <c r="B26" s="13">
        <v>8.85</v>
      </c>
      <c r="C26" s="13">
        <v>9.26</v>
      </c>
      <c r="D26" s="13">
        <v>9.2100000000000009</v>
      </c>
      <c r="E26" s="12"/>
      <c r="F26" s="12"/>
      <c r="G26" s="12"/>
      <c r="H26" s="12"/>
      <c r="I26" s="12"/>
      <c r="J26" s="12"/>
      <c r="K26" s="12"/>
    </row>
    <row r="27" spans="1:11" ht="15" customHeight="1">
      <c r="A27" s="10" t="s">
        <v>54</v>
      </c>
      <c r="B27" s="13">
        <v>1.57</v>
      </c>
      <c r="C27" s="13">
        <v>0.96</v>
      </c>
      <c r="D27" s="13">
        <v>1.1100000000000001</v>
      </c>
      <c r="E27" s="12"/>
      <c r="F27" s="12"/>
      <c r="G27" s="12"/>
      <c r="H27" s="12"/>
      <c r="I27" s="12"/>
      <c r="J27" s="12"/>
      <c r="K27" s="12"/>
    </row>
    <row r="28" spans="1:11" ht="15" customHeight="1">
      <c r="A28" s="10" t="s">
        <v>55</v>
      </c>
      <c r="B28" s="14">
        <v>0</v>
      </c>
      <c r="C28" s="14">
        <v>0</v>
      </c>
      <c r="D28" s="12"/>
      <c r="E28" s="12"/>
      <c r="F28" s="12"/>
      <c r="G28" s="12"/>
      <c r="H28" s="12"/>
      <c r="I28" s="12"/>
      <c r="J28" s="12"/>
      <c r="K28" s="12"/>
    </row>
    <row r="29" spans="1:11" ht="15" customHeight="1">
      <c r="A29" s="10" t="s">
        <v>56</v>
      </c>
      <c r="B29" s="17">
        <v>-0.59</v>
      </c>
      <c r="C29" s="17">
        <v>-0.61</v>
      </c>
      <c r="D29" s="12"/>
      <c r="E29" s="12"/>
      <c r="F29" s="12"/>
      <c r="G29" s="12"/>
      <c r="H29" s="12"/>
      <c r="I29" s="12"/>
      <c r="J29" s="12"/>
      <c r="K29" s="12"/>
    </row>
    <row r="30" spans="1:11" ht="15" customHeight="1">
      <c r="A30" s="10" t="s">
        <v>57</v>
      </c>
      <c r="B30" s="11">
        <v>0.79</v>
      </c>
      <c r="C30" s="11">
        <v>4.53</v>
      </c>
      <c r="D30" s="11">
        <v>5.68</v>
      </c>
      <c r="E30" s="11">
        <v>6.02</v>
      </c>
      <c r="F30" s="11">
        <v>2.4</v>
      </c>
      <c r="G30" s="11">
        <v>3.39</v>
      </c>
      <c r="H30" s="11">
        <v>3.28</v>
      </c>
      <c r="I30" s="11">
        <v>7.4</v>
      </c>
      <c r="J30" s="11">
        <v>9.5299999999999994</v>
      </c>
      <c r="K30" s="11">
        <v>5.0999999999999996</v>
      </c>
    </row>
    <row r="31" spans="1:11" ht="15" customHeight="1">
      <c r="A31" s="10" t="s">
        <v>58</v>
      </c>
      <c r="B31" s="11">
        <v>0.03</v>
      </c>
      <c r="C31" s="11">
        <v>0.62</v>
      </c>
      <c r="D31" s="11">
        <v>1.02</v>
      </c>
      <c r="E31" s="11">
        <v>0.48</v>
      </c>
      <c r="F31" s="11">
        <v>1.45</v>
      </c>
      <c r="G31" s="11">
        <v>2.48</v>
      </c>
      <c r="H31" s="11">
        <v>5.87</v>
      </c>
      <c r="I31" s="11">
        <v>1.69</v>
      </c>
      <c r="J31" s="11">
        <v>0.68</v>
      </c>
      <c r="K31" s="11">
        <v>8.93</v>
      </c>
    </row>
    <row r="32" spans="1:11" ht="15" customHeight="1">
      <c r="A32" s="10" t="s">
        <v>59</v>
      </c>
      <c r="B32" s="12"/>
      <c r="C32" s="12"/>
      <c r="D32" s="12"/>
      <c r="E32" s="12"/>
      <c r="F32" s="12"/>
      <c r="G32" s="12"/>
      <c r="H32" s="12"/>
      <c r="I32" s="12"/>
      <c r="J32" s="12"/>
      <c r="K32" s="15">
        <v>282.23</v>
      </c>
    </row>
    <row r="33" spans="1:11" ht="15" customHeight="1">
      <c r="A33" s="18" t="s">
        <v>60</v>
      </c>
      <c r="B33" s="19">
        <v>154.93</v>
      </c>
      <c r="C33" s="19">
        <v>186.22</v>
      </c>
      <c r="D33" s="19">
        <v>178.44</v>
      </c>
      <c r="E33" s="19">
        <v>209.54</v>
      </c>
      <c r="F33" s="19">
        <v>246.07</v>
      </c>
      <c r="G33" s="19">
        <v>268.57</v>
      </c>
      <c r="H33" s="19">
        <v>283.73</v>
      </c>
      <c r="I33" s="19">
        <v>319.88</v>
      </c>
      <c r="J33" s="19">
        <v>302.56</v>
      </c>
      <c r="K33" s="19">
        <v>482.95</v>
      </c>
    </row>
    <row r="34" spans="1:11" ht="15" customHeight="1">
      <c r="A34" s="10" t="s">
        <v>49</v>
      </c>
      <c r="B34" s="11">
        <v>0.59</v>
      </c>
      <c r="C34" s="11">
        <v>0.61</v>
      </c>
      <c r="D34" s="11">
        <v>4.97</v>
      </c>
      <c r="E34" s="11">
        <v>8.98</v>
      </c>
      <c r="F34" s="11">
        <v>3.7</v>
      </c>
      <c r="G34" s="11">
        <v>1.37</v>
      </c>
      <c r="H34" s="11">
        <v>2.82</v>
      </c>
      <c r="I34" s="11">
        <v>6.97</v>
      </c>
      <c r="J34" s="11">
        <v>10.51</v>
      </c>
      <c r="K34" s="11">
        <v>9.6199999999999992</v>
      </c>
    </row>
    <row r="35" spans="1:11" ht="15" customHeight="1">
      <c r="A35" s="10" t="s">
        <v>61</v>
      </c>
      <c r="B35" s="12"/>
      <c r="C35" s="12"/>
      <c r="D35" s="13">
        <v>0.37</v>
      </c>
      <c r="E35" s="12"/>
      <c r="F35" s="12"/>
      <c r="G35" s="12"/>
      <c r="H35" s="12"/>
      <c r="I35" s="12"/>
      <c r="J35" s="12"/>
      <c r="K35" s="12"/>
    </row>
    <row r="36" spans="1:11" ht="15" customHeight="1">
      <c r="A36" s="10" t="s">
        <v>53</v>
      </c>
      <c r="B36" s="12"/>
      <c r="C36" s="12"/>
      <c r="D36" s="13">
        <v>0.69</v>
      </c>
      <c r="E36" s="12"/>
      <c r="F36" s="12"/>
      <c r="G36" s="12"/>
      <c r="H36" s="12"/>
      <c r="I36" s="12"/>
      <c r="J36" s="12"/>
      <c r="K36" s="12"/>
    </row>
    <row r="37" spans="1:11" ht="15" customHeight="1">
      <c r="A37" s="10" t="s">
        <v>62</v>
      </c>
      <c r="B37" s="12"/>
      <c r="C37" s="12"/>
      <c r="D37" s="13">
        <v>3.91</v>
      </c>
      <c r="E37" s="12"/>
      <c r="F37" s="12"/>
      <c r="G37" s="12"/>
      <c r="H37" s="12"/>
      <c r="I37" s="12"/>
      <c r="J37" s="12"/>
      <c r="K37" s="12"/>
    </row>
    <row r="38" spans="1:11" ht="15" customHeight="1">
      <c r="A38" s="10" t="s">
        <v>58</v>
      </c>
      <c r="B38" s="11">
        <v>0.04</v>
      </c>
      <c r="C38" s="11">
        <v>3.41</v>
      </c>
      <c r="D38" s="11">
        <v>6.03</v>
      </c>
      <c r="E38" s="11">
        <v>0.61</v>
      </c>
      <c r="F38" s="11">
        <v>5.98</v>
      </c>
      <c r="G38" s="11">
        <v>8.8000000000000007</v>
      </c>
      <c r="H38" s="11">
        <v>15.66</v>
      </c>
      <c r="I38" s="11">
        <v>18.52</v>
      </c>
      <c r="J38" s="11">
        <v>8.1300000000000008</v>
      </c>
      <c r="K38" s="11">
        <v>9.98</v>
      </c>
    </row>
    <row r="39" spans="1:11" ht="15" customHeight="1">
      <c r="A39" s="10" t="s">
        <v>63</v>
      </c>
      <c r="B39" s="11">
        <v>17.45</v>
      </c>
      <c r="C39" s="11">
        <v>23.19</v>
      </c>
      <c r="D39" s="15">
        <v>108.07</v>
      </c>
      <c r="E39" s="11">
        <v>4.9000000000000004</v>
      </c>
      <c r="F39" s="11">
        <v>11.48</v>
      </c>
      <c r="G39" s="11">
        <v>10.36</v>
      </c>
      <c r="H39" s="11">
        <v>20.81</v>
      </c>
      <c r="I39" s="11">
        <v>19.309999999999999</v>
      </c>
      <c r="J39" s="11">
        <v>14.51</v>
      </c>
      <c r="K39" s="11">
        <v>14.58</v>
      </c>
    </row>
    <row r="40" spans="1:11" ht="15" customHeight="1">
      <c r="A40" s="10" t="s">
        <v>64</v>
      </c>
      <c r="B40" s="11">
        <v>19.71</v>
      </c>
      <c r="C40" s="11">
        <v>21.96</v>
      </c>
      <c r="D40" s="11">
        <v>15.29</v>
      </c>
      <c r="E40" s="11">
        <v>19.579999999999998</v>
      </c>
      <c r="F40" s="11">
        <v>22.16</v>
      </c>
      <c r="G40" s="11">
        <v>19.93</v>
      </c>
      <c r="H40" s="11">
        <v>24.09</v>
      </c>
      <c r="I40" s="11">
        <v>28.86</v>
      </c>
      <c r="J40" s="11">
        <v>30.65</v>
      </c>
      <c r="K40" s="11">
        <v>56.8</v>
      </c>
    </row>
    <row r="41" spans="1:11" ht="15" customHeight="1">
      <c r="A41" s="10" t="s">
        <v>65</v>
      </c>
      <c r="B41" s="13">
        <v>64.44</v>
      </c>
      <c r="C41" s="12"/>
      <c r="D41" s="12"/>
      <c r="E41" s="12"/>
      <c r="F41" s="12"/>
      <c r="G41" s="11">
        <v>49.63</v>
      </c>
      <c r="H41" s="12"/>
      <c r="I41" s="12"/>
      <c r="J41" s="12"/>
      <c r="K41" s="12"/>
    </row>
    <row r="42" spans="1:11" ht="15" customHeight="1">
      <c r="A42" s="10" t="s">
        <v>66</v>
      </c>
      <c r="B42" s="17">
        <v>-33.67</v>
      </c>
      <c r="C42" s="12"/>
      <c r="D42" s="12"/>
      <c r="E42" s="12"/>
      <c r="F42" s="12"/>
      <c r="G42" s="20">
        <v>-29.25</v>
      </c>
      <c r="H42" s="12"/>
      <c r="I42" s="12"/>
      <c r="J42" s="12"/>
      <c r="K42" s="12"/>
    </row>
    <row r="43" spans="1:11" ht="15" customHeight="1">
      <c r="A43" s="10" t="s">
        <v>67</v>
      </c>
      <c r="B43" s="11">
        <v>30.78</v>
      </c>
      <c r="C43" s="11">
        <v>26.65</v>
      </c>
      <c r="D43" s="11">
        <v>30.37</v>
      </c>
      <c r="E43" s="11">
        <v>33.200000000000003</v>
      </c>
      <c r="F43" s="11">
        <v>29.04</v>
      </c>
      <c r="G43" s="11">
        <v>20.38</v>
      </c>
      <c r="H43" s="11">
        <v>21.62</v>
      </c>
      <c r="I43" s="11">
        <v>21.58</v>
      </c>
      <c r="J43" s="11">
        <v>19.77</v>
      </c>
      <c r="K43" s="11">
        <v>13.22</v>
      </c>
    </row>
    <row r="44" spans="1:11" ht="15" customHeight="1">
      <c r="A44" s="10" t="s">
        <v>68</v>
      </c>
      <c r="B44" s="13">
        <v>16.2</v>
      </c>
      <c r="C44" s="13">
        <v>15.91</v>
      </c>
      <c r="D44" s="13">
        <v>20.329999999999998</v>
      </c>
      <c r="E44" s="13">
        <v>24.72</v>
      </c>
      <c r="F44" s="13">
        <v>25.51</v>
      </c>
      <c r="G44" s="13">
        <v>22.84</v>
      </c>
      <c r="H44" s="13">
        <v>22.9</v>
      </c>
      <c r="I44" s="13">
        <v>25.78</v>
      </c>
      <c r="J44" s="13">
        <v>27.03</v>
      </c>
      <c r="K44" s="13">
        <v>17.579999999999998</v>
      </c>
    </row>
    <row r="45" spans="1:11" ht="15" customHeight="1">
      <c r="A45" s="10" t="s">
        <v>69</v>
      </c>
      <c r="B45" s="17">
        <v>-5.43</v>
      </c>
      <c r="C45" s="17">
        <v>-6.52</v>
      </c>
      <c r="D45" s="17">
        <v>-7.41</v>
      </c>
      <c r="E45" s="17">
        <v>-9.48</v>
      </c>
      <c r="F45" s="17">
        <v>-11.84</v>
      </c>
      <c r="G45" s="17">
        <v>-12.23</v>
      </c>
      <c r="H45" s="17">
        <v>-14.31</v>
      </c>
      <c r="I45" s="17">
        <v>-16.71</v>
      </c>
      <c r="J45" s="17">
        <v>-18.96</v>
      </c>
      <c r="K45" s="17">
        <v>-12.18</v>
      </c>
    </row>
    <row r="46" spans="1:11" ht="15" customHeight="1">
      <c r="A46" s="10" t="s">
        <v>70</v>
      </c>
      <c r="B46" s="13">
        <v>27.17</v>
      </c>
      <c r="C46" s="13">
        <v>27.6</v>
      </c>
      <c r="D46" s="13">
        <v>29.36</v>
      </c>
      <c r="E46" s="13">
        <v>31.36</v>
      </c>
      <c r="F46" s="13">
        <v>30.03</v>
      </c>
      <c r="G46" s="13">
        <v>12.55</v>
      </c>
      <c r="H46" s="13">
        <v>13.83</v>
      </c>
      <c r="I46" s="13">
        <v>14.23</v>
      </c>
      <c r="J46" s="13">
        <v>14.51</v>
      </c>
      <c r="K46" s="13">
        <v>9.1300000000000008</v>
      </c>
    </row>
    <row r="47" spans="1:11" ht="15" customHeight="1">
      <c r="A47" s="10" t="s">
        <v>71</v>
      </c>
      <c r="B47" s="17">
        <v>-15.67</v>
      </c>
      <c r="C47" s="17">
        <v>-17.82</v>
      </c>
      <c r="D47" s="17">
        <v>-19.11</v>
      </c>
      <c r="E47" s="17">
        <v>-20.97</v>
      </c>
      <c r="F47" s="17">
        <v>-21.61</v>
      </c>
      <c r="G47" s="17">
        <v>-8.66</v>
      </c>
      <c r="H47" s="17">
        <v>-9.34</v>
      </c>
      <c r="I47" s="17">
        <v>-10.29</v>
      </c>
      <c r="J47" s="17">
        <v>-10.95</v>
      </c>
      <c r="K47" s="17">
        <v>-6.98</v>
      </c>
    </row>
    <row r="48" spans="1:11" ht="15" customHeight="1">
      <c r="A48" s="10" t="s">
        <v>72</v>
      </c>
      <c r="B48" s="13">
        <v>21.08</v>
      </c>
      <c r="C48" s="13">
        <v>17.95</v>
      </c>
      <c r="D48" s="13">
        <v>16.68</v>
      </c>
      <c r="E48" s="13">
        <v>15.86</v>
      </c>
      <c r="F48" s="13">
        <v>16.48</v>
      </c>
      <c r="G48" s="13">
        <v>14.24</v>
      </c>
      <c r="H48" s="13">
        <v>19.010000000000002</v>
      </c>
      <c r="I48" s="13">
        <v>21.94</v>
      </c>
      <c r="J48" s="13">
        <v>24.17</v>
      </c>
      <c r="K48" s="13">
        <v>19.36</v>
      </c>
    </row>
    <row r="49" spans="1:11" ht="15" customHeight="1">
      <c r="A49" s="10" t="s">
        <v>73</v>
      </c>
      <c r="B49" s="17">
        <v>-12.57</v>
      </c>
      <c r="C49" s="17">
        <v>-10.47</v>
      </c>
      <c r="D49" s="17">
        <v>-9.48</v>
      </c>
      <c r="E49" s="17">
        <v>-8.2799999999999994</v>
      </c>
      <c r="F49" s="17">
        <v>-9.5299999999999994</v>
      </c>
      <c r="G49" s="17">
        <v>-8.36</v>
      </c>
      <c r="H49" s="17">
        <v>-10.47</v>
      </c>
      <c r="I49" s="17">
        <v>-13.37</v>
      </c>
      <c r="J49" s="17">
        <v>-16.03</v>
      </c>
      <c r="K49" s="17">
        <v>-13.69</v>
      </c>
    </row>
    <row r="50" spans="1:11" ht="15" customHeight="1">
      <c r="A50" s="10" t="s">
        <v>74</v>
      </c>
      <c r="B50" s="16">
        <v>359.28</v>
      </c>
      <c r="C50" s="12"/>
      <c r="D50" s="12"/>
      <c r="E50" s="12"/>
      <c r="F50" s="12"/>
      <c r="G50" s="15">
        <v>410.03</v>
      </c>
      <c r="H50" s="12"/>
      <c r="I50" s="12"/>
      <c r="J50" s="12"/>
      <c r="K50" s="12"/>
    </row>
    <row r="51" spans="1:11" ht="15" customHeight="1">
      <c r="A51" s="10" t="s">
        <v>75</v>
      </c>
      <c r="B51" s="21">
        <v>-224.41</v>
      </c>
      <c r="C51" s="12"/>
      <c r="D51" s="12"/>
      <c r="E51" s="12"/>
      <c r="F51" s="12"/>
      <c r="G51" s="22">
        <v>-332.11</v>
      </c>
      <c r="H51" s="12"/>
      <c r="I51" s="12"/>
      <c r="J51" s="12"/>
      <c r="K51" s="12"/>
    </row>
    <row r="52" spans="1:11" ht="15" customHeight="1">
      <c r="A52" s="10" t="s">
        <v>76</v>
      </c>
      <c r="B52" s="15">
        <v>134.87</v>
      </c>
      <c r="C52" s="15">
        <v>108.21</v>
      </c>
      <c r="D52" s="15">
        <v>132.96</v>
      </c>
      <c r="E52" s="15">
        <v>114.89</v>
      </c>
      <c r="F52" s="11">
        <v>92.6</v>
      </c>
      <c r="G52" s="11">
        <v>77.930000000000007</v>
      </c>
      <c r="H52" s="15">
        <v>286.67</v>
      </c>
      <c r="I52" s="15">
        <v>292.81</v>
      </c>
      <c r="J52" s="15">
        <v>270.64</v>
      </c>
      <c r="K52" s="15">
        <v>214.61</v>
      </c>
    </row>
    <row r="53" spans="1:11" ht="15" customHeight="1">
      <c r="A53" s="10" t="s">
        <v>77</v>
      </c>
      <c r="B53" s="13">
        <v>15.67</v>
      </c>
      <c r="C53" s="13">
        <v>15.42</v>
      </c>
      <c r="D53" s="13">
        <v>24.47</v>
      </c>
      <c r="E53" s="13">
        <v>24.73</v>
      </c>
      <c r="F53" s="13">
        <v>24.55</v>
      </c>
      <c r="G53" s="13">
        <v>22.47</v>
      </c>
      <c r="H53" s="13">
        <v>22.73</v>
      </c>
      <c r="I53" s="13">
        <v>23.54</v>
      </c>
      <c r="J53" s="13">
        <v>23.93</v>
      </c>
      <c r="K53" s="13">
        <v>11.53</v>
      </c>
    </row>
    <row r="54" spans="1:11" ht="15" customHeight="1">
      <c r="A54" s="10" t="s">
        <v>78</v>
      </c>
      <c r="B54" s="17">
        <v>-15.49</v>
      </c>
      <c r="C54" s="17">
        <v>-15.19</v>
      </c>
      <c r="D54" s="17">
        <v>-16.989999999999998</v>
      </c>
      <c r="E54" s="17">
        <v>-24.13</v>
      </c>
      <c r="F54" s="17">
        <v>-24.16</v>
      </c>
      <c r="G54" s="17">
        <v>-22.25</v>
      </c>
      <c r="H54" s="17">
        <v>-22.24</v>
      </c>
      <c r="I54" s="17">
        <v>-22.22</v>
      </c>
      <c r="J54" s="17">
        <v>-23.11</v>
      </c>
      <c r="K54" s="17">
        <v>-11.47</v>
      </c>
    </row>
    <row r="55" spans="1:11" ht="15" customHeight="1">
      <c r="A55" s="10" t="s">
        <v>79</v>
      </c>
      <c r="B55" s="13">
        <v>12.39</v>
      </c>
      <c r="C55" s="13">
        <v>13.06</v>
      </c>
      <c r="D55" s="13">
        <v>8.4600000000000009</v>
      </c>
      <c r="E55" s="13">
        <v>5.8</v>
      </c>
      <c r="F55" s="13">
        <v>5.31</v>
      </c>
      <c r="G55" s="13">
        <v>5.37</v>
      </c>
      <c r="H55" s="13">
        <v>9.9</v>
      </c>
      <c r="I55" s="13">
        <v>27.66</v>
      </c>
      <c r="J55" s="13">
        <v>35.18</v>
      </c>
      <c r="K55" s="13">
        <v>18.989999999999998</v>
      </c>
    </row>
    <row r="56" spans="1:11" ht="15" customHeight="1">
      <c r="A56" s="10" t="s">
        <v>80</v>
      </c>
      <c r="B56" s="17">
        <v>-8.84</v>
      </c>
      <c r="C56" s="17">
        <v>-9.92</v>
      </c>
      <c r="D56" s="17">
        <v>-6.53</v>
      </c>
      <c r="E56" s="17">
        <v>-4.26</v>
      </c>
      <c r="F56" s="17">
        <v>-4.2</v>
      </c>
      <c r="G56" s="17">
        <v>-4.05</v>
      </c>
      <c r="H56" s="17">
        <v>-4.45</v>
      </c>
      <c r="I56" s="17">
        <v>-6.59</v>
      </c>
      <c r="J56" s="17">
        <v>-13.56</v>
      </c>
      <c r="K56" s="17">
        <v>-11.73</v>
      </c>
    </row>
    <row r="57" spans="1:11" ht="15" customHeight="1">
      <c r="A57" s="10" t="s">
        <v>81</v>
      </c>
      <c r="B57" s="13">
        <v>25.88</v>
      </c>
      <c r="C57" s="13">
        <v>26.17</v>
      </c>
      <c r="D57" s="13">
        <v>24.92</v>
      </c>
      <c r="E57" s="13">
        <v>26.51</v>
      </c>
      <c r="F57" s="13">
        <v>25.61</v>
      </c>
      <c r="G57" s="13">
        <v>25.16</v>
      </c>
      <c r="H57" s="13">
        <v>31.89</v>
      </c>
      <c r="I57" s="13">
        <v>33.51</v>
      </c>
      <c r="J57" s="13">
        <v>32.700000000000003</v>
      </c>
      <c r="K57" s="13">
        <v>31.77</v>
      </c>
    </row>
    <row r="58" spans="1:11" ht="15" customHeight="1">
      <c r="A58" s="10" t="s">
        <v>82</v>
      </c>
      <c r="B58" s="17">
        <v>-22.19</v>
      </c>
      <c r="C58" s="17">
        <v>-23.41</v>
      </c>
      <c r="D58" s="17">
        <v>-23.31</v>
      </c>
      <c r="E58" s="17">
        <v>-25.98</v>
      </c>
      <c r="F58" s="17">
        <v>-25.1</v>
      </c>
      <c r="G58" s="17">
        <v>-25.16</v>
      </c>
      <c r="H58" s="17">
        <v>-25.64</v>
      </c>
      <c r="I58" s="17">
        <v>-27.73</v>
      </c>
      <c r="J58" s="17">
        <v>-27.93</v>
      </c>
      <c r="K58" s="17">
        <v>-27.56</v>
      </c>
    </row>
    <row r="59" spans="1:11" ht="15" customHeight="1">
      <c r="A59" s="10" t="s">
        <v>83</v>
      </c>
      <c r="B59" s="13">
        <v>16.239999999999998</v>
      </c>
      <c r="C59" s="13">
        <v>14.34</v>
      </c>
      <c r="D59" s="13">
        <v>23.42</v>
      </c>
      <c r="E59" s="13">
        <v>35.799999999999997</v>
      </c>
      <c r="F59" s="13">
        <v>34.270000000000003</v>
      </c>
      <c r="G59" s="13">
        <v>35.5</v>
      </c>
      <c r="H59" s="16">
        <v>130.88</v>
      </c>
      <c r="I59" s="16">
        <v>150.29</v>
      </c>
      <c r="J59" s="16">
        <v>156.75</v>
      </c>
      <c r="K59" s="16">
        <v>144.52000000000001</v>
      </c>
    </row>
    <row r="60" spans="1:11" ht="15" customHeight="1">
      <c r="A60" s="10" t="s">
        <v>84</v>
      </c>
      <c r="B60" s="17">
        <v>-7.32</v>
      </c>
      <c r="C60" s="17">
        <v>-9.57</v>
      </c>
      <c r="D60" s="17">
        <v>-12.77</v>
      </c>
      <c r="E60" s="17">
        <v>-17.53</v>
      </c>
      <c r="F60" s="17">
        <v>-21.35</v>
      </c>
      <c r="G60" s="17">
        <v>-25.36</v>
      </c>
      <c r="H60" s="17">
        <v>-30.66</v>
      </c>
      <c r="I60" s="17">
        <v>-44.56</v>
      </c>
      <c r="J60" s="17">
        <v>-57.25</v>
      </c>
      <c r="K60" s="17">
        <v>-68.39</v>
      </c>
    </row>
    <row r="61" spans="1:11" ht="15" customHeight="1">
      <c r="A61" s="10" t="s">
        <v>85</v>
      </c>
      <c r="B61" s="12"/>
      <c r="C61" s="12"/>
      <c r="D61" s="12"/>
      <c r="E61" s="12"/>
      <c r="F61" s="12"/>
      <c r="G61" s="12"/>
      <c r="H61" s="13">
        <v>26.43</v>
      </c>
      <c r="I61" s="13">
        <v>25.79</v>
      </c>
      <c r="J61" s="13">
        <v>22.91</v>
      </c>
      <c r="K61" s="13">
        <v>22.33</v>
      </c>
    </row>
    <row r="62" spans="1:11" ht="15" customHeight="1">
      <c r="A62" s="10" t="s">
        <v>86</v>
      </c>
      <c r="B62" s="12"/>
      <c r="C62" s="12"/>
      <c r="D62" s="12"/>
      <c r="E62" s="12"/>
      <c r="F62" s="12"/>
      <c r="G62" s="12"/>
      <c r="H62" s="11">
        <v>26.7</v>
      </c>
      <c r="I62" s="13">
        <v>28.48</v>
      </c>
      <c r="J62" s="13">
        <v>27.86</v>
      </c>
      <c r="K62" s="13">
        <v>30.22</v>
      </c>
    </row>
    <row r="63" spans="1:11" ht="15" customHeight="1">
      <c r="A63" s="10" t="s">
        <v>87</v>
      </c>
      <c r="B63" s="12"/>
      <c r="C63" s="12"/>
      <c r="D63" s="12"/>
      <c r="E63" s="12"/>
      <c r="F63" s="12"/>
      <c r="G63" s="12"/>
      <c r="H63" s="20">
        <v>-0.27</v>
      </c>
      <c r="I63" s="17">
        <v>-2.69</v>
      </c>
      <c r="J63" s="17">
        <v>-4.95</v>
      </c>
      <c r="K63" s="17">
        <v>-7.89</v>
      </c>
    </row>
    <row r="64" spans="1:11" ht="15" customHeight="1">
      <c r="A64" s="10" t="s">
        <v>88</v>
      </c>
      <c r="B64" s="13">
        <v>17.87</v>
      </c>
      <c r="C64" s="13">
        <v>17.71</v>
      </c>
      <c r="D64" s="13">
        <v>37.409999999999997</v>
      </c>
      <c r="E64" s="13">
        <v>39.32</v>
      </c>
      <c r="F64" s="13">
        <v>39.86</v>
      </c>
      <c r="G64" s="13">
        <v>45.77</v>
      </c>
      <c r="H64" s="13">
        <v>45.78</v>
      </c>
      <c r="I64" s="13">
        <v>45.65</v>
      </c>
      <c r="J64" s="13">
        <v>45.97</v>
      </c>
      <c r="K64" s="13">
        <v>10</v>
      </c>
    </row>
    <row r="65" spans="1:11" ht="15" customHeight="1">
      <c r="A65" s="10" t="s">
        <v>89</v>
      </c>
      <c r="B65" s="17">
        <v>-16.89</v>
      </c>
      <c r="C65" s="17">
        <v>-17.21</v>
      </c>
      <c r="D65" s="17">
        <v>-17.84</v>
      </c>
      <c r="E65" s="17">
        <v>-23.36</v>
      </c>
      <c r="F65" s="17">
        <v>-27.23</v>
      </c>
      <c r="G65" s="17">
        <v>-32.520000000000003</v>
      </c>
      <c r="H65" s="17">
        <v>-37.89</v>
      </c>
      <c r="I65" s="17">
        <v>-42.6</v>
      </c>
      <c r="J65" s="17">
        <v>-44.59</v>
      </c>
      <c r="K65" s="17">
        <v>-10</v>
      </c>
    </row>
    <row r="66" spans="1:11" ht="15" customHeight="1">
      <c r="A66" s="10" t="s">
        <v>90</v>
      </c>
      <c r="B66" s="16">
        <v>210.18</v>
      </c>
      <c r="C66" s="16">
        <v>202.74</v>
      </c>
      <c r="D66" s="16">
        <v>206.02</v>
      </c>
      <c r="E66" s="16">
        <v>217.75</v>
      </c>
      <c r="F66" s="16">
        <v>220.35</v>
      </c>
      <c r="G66" s="16">
        <v>203.31</v>
      </c>
      <c r="H66" s="16">
        <v>286.2</v>
      </c>
      <c r="I66" s="16">
        <v>297.24</v>
      </c>
      <c r="J66" s="16">
        <v>299.10000000000002</v>
      </c>
      <c r="K66" s="16">
        <v>233.51</v>
      </c>
    </row>
    <row r="67" spans="1:11" ht="15" customHeight="1">
      <c r="A67" s="10" t="s">
        <v>91</v>
      </c>
      <c r="B67" s="21">
        <v>-134.11000000000001</v>
      </c>
      <c r="C67" s="21">
        <v>-143.56</v>
      </c>
      <c r="D67" s="21">
        <v>-156.33000000000001</v>
      </c>
      <c r="E67" s="21">
        <v>-180.66</v>
      </c>
      <c r="F67" s="21">
        <v>-192.23</v>
      </c>
      <c r="G67" s="21">
        <v>-184.4</v>
      </c>
      <c r="H67" s="21">
        <v>-194.91</v>
      </c>
      <c r="I67" s="21">
        <v>-212.83</v>
      </c>
      <c r="J67" s="21">
        <v>-222.82</v>
      </c>
      <c r="K67" s="21">
        <v>-172.88</v>
      </c>
    </row>
    <row r="68" spans="1:11" ht="15" customHeight="1">
      <c r="A68" s="10" t="s">
        <v>92</v>
      </c>
      <c r="B68" s="13">
        <v>6.66</v>
      </c>
      <c r="C68" s="13">
        <v>6.66</v>
      </c>
      <c r="D68" s="13">
        <v>6.87</v>
      </c>
      <c r="E68" s="13">
        <v>6.88</v>
      </c>
      <c r="F68" s="13">
        <v>6.89</v>
      </c>
      <c r="G68" s="13">
        <v>6.9</v>
      </c>
      <c r="H68" s="13">
        <v>6.88</v>
      </c>
      <c r="I68" s="13">
        <v>6.92</v>
      </c>
      <c r="J68" s="13">
        <v>6.17</v>
      </c>
      <c r="K68" s="13">
        <v>6.19</v>
      </c>
    </row>
    <row r="69" spans="1:11" ht="15" customHeight="1">
      <c r="A69" s="10" t="s">
        <v>93</v>
      </c>
      <c r="B69" s="17">
        <v>-4.1100000000000003</v>
      </c>
      <c r="C69" s="17">
        <v>-5.09</v>
      </c>
      <c r="D69" s="17">
        <v>-6.08</v>
      </c>
      <c r="E69" s="17">
        <v>-6.65</v>
      </c>
      <c r="F69" s="17">
        <v>-6.67</v>
      </c>
      <c r="G69" s="17">
        <v>-6.9</v>
      </c>
      <c r="H69" s="17">
        <v>-6.88</v>
      </c>
      <c r="I69" s="17">
        <v>-6.88</v>
      </c>
      <c r="J69" s="17">
        <v>-6.13</v>
      </c>
      <c r="K69" s="17">
        <v>-6.15</v>
      </c>
    </row>
    <row r="70" spans="1:11" ht="15" customHeight="1">
      <c r="A70" s="10" t="s">
        <v>94</v>
      </c>
      <c r="B70" s="13">
        <v>24.97</v>
      </c>
      <c r="C70" s="13">
        <v>25.05</v>
      </c>
      <c r="D70" s="13">
        <v>34.729999999999997</v>
      </c>
      <c r="E70" s="13">
        <v>38.1</v>
      </c>
      <c r="F70" s="13">
        <v>39.380000000000003</v>
      </c>
      <c r="G70" s="13">
        <v>38.020000000000003</v>
      </c>
      <c r="H70" s="13">
        <v>43.95</v>
      </c>
      <c r="I70" s="13">
        <v>44.33</v>
      </c>
      <c r="J70" s="13">
        <v>45.37</v>
      </c>
      <c r="K70" s="13">
        <v>21.26</v>
      </c>
    </row>
    <row r="71" spans="1:11" ht="15" customHeight="1">
      <c r="A71" s="10" t="s">
        <v>95</v>
      </c>
      <c r="B71" s="17">
        <v>-15.45</v>
      </c>
      <c r="C71" s="17">
        <v>-17.690000000000001</v>
      </c>
      <c r="D71" s="17">
        <v>-20.7</v>
      </c>
      <c r="E71" s="17">
        <v>-26.45</v>
      </c>
      <c r="F71" s="17">
        <v>-30.67</v>
      </c>
      <c r="G71" s="17">
        <v>-31.47</v>
      </c>
      <c r="H71" s="17">
        <v>-35.28</v>
      </c>
      <c r="I71" s="17">
        <v>-40.19</v>
      </c>
      <c r="J71" s="17">
        <v>-43.14</v>
      </c>
      <c r="K71" s="17">
        <v>-20.56</v>
      </c>
    </row>
    <row r="72" spans="1:11" ht="15" customHeight="1">
      <c r="A72" s="10" t="s">
        <v>96</v>
      </c>
      <c r="B72" s="13">
        <v>29.43</v>
      </c>
      <c r="C72" s="13">
        <v>28.7</v>
      </c>
      <c r="D72" s="13">
        <v>27.22</v>
      </c>
      <c r="E72" s="13">
        <v>29.02</v>
      </c>
      <c r="F72" s="13">
        <v>28</v>
      </c>
      <c r="G72" s="13">
        <v>27.54</v>
      </c>
      <c r="H72" s="13">
        <v>40</v>
      </c>
      <c r="I72" s="13">
        <v>41.48</v>
      </c>
      <c r="J72" s="13">
        <v>41.11</v>
      </c>
      <c r="K72" s="13">
        <v>43.25</v>
      </c>
    </row>
    <row r="73" spans="1:11" ht="15" customHeight="1">
      <c r="A73" s="10" t="s">
        <v>97</v>
      </c>
      <c r="B73" s="15">
        <v>239.35</v>
      </c>
      <c r="C73" s="15">
        <v>220.6</v>
      </c>
      <c r="D73" s="15">
        <v>249.99</v>
      </c>
      <c r="E73" s="15">
        <v>266.48</v>
      </c>
      <c r="F73" s="15">
        <v>260.38</v>
      </c>
      <c r="G73" s="15">
        <v>261.07</v>
      </c>
      <c r="H73" s="15">
        <v>467.31</v>
      </c>
      <c r="I73" s="15">
        <v>497.58</v>
      </c>
      <c r="J73" s="15">
        <v>509.98</v>
      </c>
      <c r="K73" s="15">
        <v>404.18</v>
      </c>
    </row>
    <row r="74" spans="1:11" ht="15" customHeight="1">
      <c r="A74" s="10" t="s">
        <v>98</v>
      </c>
      <c r="B74" s="16">
        <v>291.5</v>
      </c>
      <c r="C74" s="16">
        <v>283.57</v>
      </c>
      <c r="D74" s="16">
        <v>310.77999999999997</v>
      </c>
      <c r="E74" s="16">
        <v>344.09</v>
      </c>
      <c r="F74" s="16">
        <v>342.86</v>
      </c>
      <c r="G74" s="16">
        <v>310.20999999999998</v>
      </c>
      <c r="H74" s="16">
        <v>515.95000000000005</v>
      </c>
      <c r="I74" s="16">
        <v>548.4</v>
      </c>
      <c r="J74" s="16">
        <v>560.74</v>
      </c>
      <c r="K74" s="16">
        <v>464.54</v>
      </c>
    </row>
    <row r="75" spans="1:11" ht="15" customHeight="1">
      <c r="A75" s="10" t="s">
        <v>99</v>
      </c>
      <c r="B75" s="17">
        <v>-52.16</v>
      </c>
      <c r="C75" s="17">
        <v>-62.97</v>
      </c>
      <c r="D75" s="17">
        <v>-60.79</v>
      </c>
      <c r="E75" s="17">
        <v>-77.61</v>
      </c>
      <c r="F75" s="17">
        <v>-82.48</v>
      </c>
      <c r="G75" s="17">
        <v>-49.14</v>
      </c>
      <c r="H75" s="17">
        <v>-48.64</v>
      </c>
      <c r="I75" s="17">
        <v>-50.82</v>
      </c>
      <c r="J75" s="17">
        <v>-50.76</v>
      </c>
      <c r="K75" s="17">
        <v>-60.37</v>
      </c>
    </row>
    <row r="76" spans="1:11" ht="15" customHeight="1">
      <c r="A76" s="10" t="s">
        <v>100</v>
      </c>
      <c r="B76" s="12"/>
      <c r="C76" s="12"/>
      <c r="D76" s="12"/>
      <c r="E76" s="12">
        <v>0</v>
      </c>
      <c r="F76" s="11">
        <v>63.73</v>
      </c>
      <c r="G76" s="11">
        <v>51.69</v>
      </c>
      <c r="H76" s="11">
        <v>59.99</v>
      </c>
      <c r="I76" s="11">
        <v>38.869999999999997</v>
      </c>
      <c r="J76" s="11">
        <v>25.28</v>
      </c>
      <c r="K76" s="11">
        <v>19.420000000000002</v>
      </c>
    </row>
    <row r="77" spans="1:11" ht="15" customHeight="1">
      <c r="A77" s="10" t="s">
        <v>101</v>
      </c>
      <c r="B77" s="12"/>
      <c r="C77" s="12"/>
      <c r="D77" s="12"/>
      <c r="E77" s="12"/>
      <c r="F77" s="13">
        <v>78.680000000000007</v>
      </c>
      <c r="G77" s="13">
        <v>75.77</v>
      </c>
      <c r="H77" s="13">
        <v>91.63</v>
      </c>
      <c r="I77" s="13">
        <v>90.94</v>
      </c>
      <c r="J77" s="13">
        <v>84.28</v>
      </c>
      <c r="K77" s="13">
        <v>67.510000000000005</v>
      </c>
    </row>
    <row r="78" spans="1:11" ht="15" customHeight="1">
      <c r="A78" s="10" t="s">
        <v>102</v>
      </c>
      <c r="B78" s="12"/>
      <c r="C78" s="12"/>
      <c r="D78" s="12"/>
      <c r="E78" s="12"/>
      <c r="F78" s="17">
        <v>-14.95</v>
      </c>
      <c r="G78" s="17">
        <v>-24.07</v>
      </c>
      <c r="H78" s="17">
        <v>-31.64</v>
      </c>
      <c r="I78" s="17">
        <v>-52.06</v>
      </c>
      <c r="J78" s="17">
        <v>-58.99</v>
      </c>
      <c r="K78" s="17">
        <v>-48.09</v>
      </c>
    </row>
    <row r="79" spans="1:11" ht="15" customHeight="1">
      <c r="A79" s="10" t="s">
        <v>103</v>
      </c>
      <c r="B79" s="12"/>
      <c r="C79" s="12"/>
      <c r="D79" s="12"/>
      <c r="E79" s="12"/>
      <c r="F79" s="12"/>
      <c r="G79" s="11">
        <v>15.31</v>
      </c>
      <c r="H79" s="11">
        <v>16.5</v>
      </c>
      <c r="I79" s="11">
        <v>19.510000000000002</v>
      </c>
      <c r="J79" s="11">
        <v>22.66</v>
      </c>
      <c r="K79" s="11">
        <v>25.61</v>
      </c>
    </row>
    <row r="80" spans="1:11" ht="15" customHeight="1">
      <c r="A80" s="18" t="s">
        <v>104</v>
      </c>
      <c r="B80" s="19">
        <v>442.79</v>
      </c>
      <c r="C80" s="19">
        <v>404.63</v>
      </c>
      <c r="D80" s="19">
        <v>547.67999999999995</v>
      </c>
      <c r="E80" s="19">
        <v>448.65</v>
      </c>
      <c r="F80" s="19">
        <v>489.06</v>
      </c>
      <c r="G80" s="19">
        <v>466.83</v>
      </c>
      <c r="H80" s="19">
        <v>915.47</v>
      </c>
      <c r="I80" s="19">
        <v>944.01</v>
      </c>
      <c r="J80" s="19">
        <v>912.13</v>
      </c>
      <c r="K80" s="19">
        <v>768.01</v>
      </c>
    </row>
    <row r="81" spans="1:11" ht="15" customHeight="1">
      <c r="A81" s="18" t="s">
        <v>105</v>
      </c>
      <c r="B81" s="19">
        <v>597.72</v>
      </c>
      <c r="C81" s="19">
        <v>590.85</v>
      </c>
      <c r="D81" s="19">
        <v>726.12</v>
      </c>
      <c r="E81" s="19">
        <v>658.18</v>
      </c>
      <c r="F81" s="19">
        <v>735.13</v>
      </c>
      <c r="G81" s="19">
        <v>735.4</v>
      </c>
      <c r="H81" s="19">
        <v>1199.2</v>
      </c>
      <c r="I81" s="19">
        <v>1263.8900000000001</v>
      </c>
      <c r="J81" s="19">
        <v>1214.69</v>
      </c>
      <c r="K81" s="19">
        <v>1250.96</v>
      </c>
    </row>
    <row r="82" spans="1:11" ht="15" customHeight="1">
      <c r="A82" s="10" t="s">
        <v>106</v>
      </c>
      <c r="B82" s="11">
        <v>81.28</v>
      </c>
      <c r="C82" s="11">
        <v>91.57</v>
      </c>
      <c r="D82" s="15">
        <v>101.45</v>
      </c>
      <c r="E82" s="15">
        <v>117.52</v>
      </c>
      <c r="F82" s="15">
        <v>128.57</v>
      </c>
      <c r="G82" s="15">
        <v>140.29</v>
      </c>
      <c r="H82" s="15">
        <v>193.39</v>
      </c>
      <c r="I82" s="15">
        <v>222.94</v>
      </c>
      <c r="J82" s="15">
        <v>199.22</v>
      </c>
      <c r="K82" s="15">
        <v>216.39</v>
      </c>
    </row>
    <row r="83" spans="1:11" ht="15" customHeight="1">
      <c r="A83" s="10" t="s">
        <v>107</v>
      </c>
      <c r="B83" s="12"/>
      <c r="C83" s="12"/>
      <c r="D83" s="13">
        <v>8.1999999999999993</v>
      </c>
      <c r="E83" s="13">
        <v>11.17</v>
      </c>
      <c r="F83" s="13">
        <v>9.94</v>
      </c>
      <c r="G83" s="13">
        <v>7.6</v>
      </c>
      <c r="H83" s="13">
        <v>10.63</v>
      </c>
      <c r="I83" s="13">
        <v>7.35</v>
      </c>
      <c r="J83" s="13">
        <v>17.54</v>
      </c>
      <c r="K83" s="13">
        <v>14.96</v>
      </c>
    </row>
    <row r="84" spans="1:11" ht="15" customHeight="1">
      <c r="A84" s="10" t="s">
        <v>108</v>
      </c>
      <c r="B84" s="12"/>
      <c r="C84" s="12"/>
      <c r="D84" s="13">
        <v>52.67</v>
      </c>
      <c r="E84" s="13">
        <v>56.87</v>
      </c>
      <c r="F84" s="13">
        <v>67.75</v>
      </c>
      <c r="G84" s="13">
        <v>78.91</v>
      </c>
      <c r="H84" s="13">
        <v>98.44</v>
      </c>
      <c r="I84" s="13">
        <v>96.95</v>
      </c>
      <c r="J84" s="13">
        <v>93.58</v>
      </c>
      <c r="K84" s="13">
        <v>87.86</v>
      </c>
    </row>
    <row r="85" spans="1:11" ht="15" customHeight="1">
      <c r="A85" s="10" t="s">
        <v>109</v>
      </c>
      <c r="B85" s="12"/>
      <c r="C85" s="12"/>
      <c r="D85" s="13">
        <v>30.29</v>
      </c>
      <c r="E85" s="13">
        <v>30.03</v>
      </c>
      <c r="F85" s="13">
        <v>38.86</v>
      </c>
      <c r="G85" s="13">
        <v>42.35</v>
      </c>
      <c r="H85" s="13">
        <v>73.05</v>
      </c>
      <c r="I85" s="13">
        <v>90.07</v>
      </c>
      <c r="J85" s="13">
        <v>72.569999999999993</v>
      </c>
      <c r="K85" s="13">
        <v>71.930000000000007</v>
      </c>
    </row>
    <row r="86" spans="1:11" ht="15" customHeight="1">
      <c r="A86" s="10" t="s">
        <v>110</v>
      </c>
      <c r="B86" s="12"/>
      <c r="C86" s="12"/>
      <c r="D86" s="12"/>
      <c r="E86" s="12"/>
      <c r="F86" s="12"/>
      <c r="G86" s="12"/>
      <c r="H86" s="13">
        <v>3.21</v>
      </c>
      <c r="I86" s="13">
        <v>1.74</v>
      </c>
      <c r="J86" s="13">
        <v>1.67</v>
      </c>
      <c r="K86" s="14">
        <v>0</v>
      </c>
    </row>
    <row r="87" spans="1:11" ht="15" customHeight="1">
      <c r="A87" s="10" t="s">
        <v>111</v>
      </c>
      <c r="B87" s="12"/>
      <c r="C87" s="12"/>
      <c r="D87" s="13">
        <v>1.1399999999999999</v>
      </c>
      <c r="E87" s="13">
        <v>11.11</v>
      </c>
      <c r="F87" s="13">
        <v>5.38</v>
      </c>
      <c r="G87" s="13">
        <v>0.05</v>
      </c>
      <c r="H87" s="14">
        <v>0</v>
      </c>
      <c r="I87" s="13">
        <v>3</v>
      </c>
      <c r="J87" s="13">
        <v>0.2</v>
      </c>
      <c r="K87" s="14">
        <v>0</v>
      </c>
    </row>
    <row r="88" spans="1:11" ht="15" customHeight="1">
      <c r="A88" s="10" t="s">
        <v>112</v>
      </c>
      <c r="B88" s="12"/>
      <c r="C88" s="12"/>
      <c r="D88" s="12"/>
      <c r="E88" s="12"/>
      <c r="F88" s="12"/>
      <c r="G88" s="12"/>
      <c r="H88" s="12"/>
      <c r="I88" s="12"/>
      <c r="J88" s="12"/>
      <c r="K88" s="13">
        <v>30</v>
      </c>
    </row>
    <row r="89" spans="1:11" ht="15" customHeight="1">
      <c r="A89" s="10" t="s">
        <v>113</v>
      </c>
      <c r="B89" s="12"/>
      <c r="C89" s="12"/>
      <c r="D89" s="13">
        <v>5.82</v>
      </c>
      <c r="E89" s="13">
        <v>5.9</v>
      </c>
      <c r="F89" s="13">
        <v>6.03</v>
      </c>
      <c r="G89" s="13">
        <v>6.12</v>
      </c>
      <c r="H89" s="13">
        <v>6.72</v>
      </c>
      <c r="I89" s="13">
        <v>6.82</v>
      </c>
      <c r="J89" s="13">
        <v>6.88</v>
      </c>
      <c r="K89" s="13">
        <v>6.93</v>
      </c>
    </row>
    <row r="90" spans="1:11" ht="15" customHeight="1">
      <c r="A90" s="10" t="s">
        <v>114</v>
      </c>
      <c r="B90" s="12"/>
      <c r="C90" s="12"/>
      <c r="D90" s="12"/>
      <c r="E90" s="12"/>
      <c r="F90" s="12"/>
      <c r="G90" s="13">
        <v>0.33</v>
      </c>
      <c r="H90" s="13">
        <v>0.09</v>
      </c>
      <c r="I90" s="14">
        <v>0</v>
      </c>
      <c r="J90" s="12"/>
      <c r="K90" s="12"/>
    </row>
    <row r="91" spans="1:11" ht="15" customHeight="1">
      <c r="A91" s="10" t="s">
        <v>115</v>
      </c>
      <c r="B91" s="12"/>
      <c r="C91" s="12"/>
      <c r="D91" s="13">
        <v>0.73</v>
      </c>
      <c r="E91" s="13">
        <v>0.91</v>
      </c>
      <c r="F91" s="14">
        <v>0</v>
      </c>
      <c r="G91" s="12"/>
      <c r="H91" s="12"/>
      <c r="I91" s="12"/>
      <c r="J91" s="12"/>
      <c r="K91" s="12"/>
    </row>
    <row r="92" spans="1:11" ht="15" customHeight="1">
      <c r="A92" s="10" t="s">
        <v>116</v>
      </c>
      <c r="B92" s="12"/>
      <c r="C92" s="12"/>
      <c r="D92" s="13">
        <v>2.6</v>
      </c>
      <c r="E92" s="13">
        <v>1.55</v>
      </c>
      <c r="F92" s="13">
        <v>0.61</v>
      </c>
      <c r="G92" s="13">
        <v>4.9400000000000004</v>
      </c>
      <c r="H92" s="13">
        <v>1.26</v>
      </c>
      <c r="I92" s="13">
        <v>17.010000000000002</v>
      </c>
      <c r="J92" s="13">
        <v>6.77</v>
      </c>
      <c r="K92" s="13">
        <v>4.71</v>
      </c>
    </row>
    <row r="93" spans="1:11" ht="15" customHeight="1">
      <c r="A93" s="10" t="s">
        <v>117</v>
      </c>
      <c r="B93" s="11">
        <v>1.01</v>
      </c>
      <c r="C93" s="11">
        <v>5.0999999999999996</v>
      </c>
      <c r="D93" s="11">
        <v>2.89</v>
      </c>
      <c r="E93" s="11">
        <v>6.8</v>
      </c>
      <c r="F93" s="11">
        <v>4.55</v>
      </c>
      <c r="G93" s="11">
        <v>1.19</v>
      </c>
      <c r="H93" s="11">
        <v>2.63</v>
      </c>
      <c r="I93" s="11">
        <v>2.06</v>
      </c>
      <c r="J93" s="11">
        <v>4.71</v>
      </c>
      <c r="K93" s="11">
        <v>3.02</v>
      </c>
    </row>
    <row r="94" spans="1:11" ht="15" customHeight="1">
      <c r="A94" s="10" t="s">
        <v>118</v>
      </c>
      <c r="B94" s="13">
        <v>0.79</v>
      </c>
      <c r="C94" s="13">
        <v>0.83</v>
      </c>
      <c r="D94" s="13">
        <v>0.54</v>
      </c>
      <c r="E94" s="13">
        <v>0.19</v>
      </c>
      <c r="F94" s="11">
        <v>12.56</v>
      </c>
      <c r="G94" s="11">
        <v>11.7</v>
      </c>
      <c r="H94" s="11">
        <v>13.91</v>
      </c>
      <c r="I94" s="11">
        <v>14.86</v>
      </c>
      <c r="J94" s="11">
        <v>14.35</v>
      </c>
      <c r="K94" s="11">
        <v>11.01</v>
      </c>
    </row>
    <row r="95" spans="1:11" ht="15" customHeight="1">
      <c r="A95" s="10" t="s">
        <v>119</v>
      </c>
      <c r="B95" s="13">
        <v>1.34</v>
      </c>
      <c r="C95" s="13">
        <v>6.18</v>
      </c>
      <c r="D95" s="13">
        <v>0.13</v>
      </c>
      <c r="E95" s="13">
        <v>0.67</v>
      </c>
      <c r="F95" s="15">
        <v>137.93</v>
      </c>
      <c r="G95" s="12">
        <v>0</v>
      </c>
      <c r="H95" s="12"/>
      <c r="I95" s="12"/>
      <c r="J95" s="12"/>
      <c r="K95" s="12"/>
    </row>
    <row r="96" spans="1:11" ht="15" customHeight="1">
      <c r="A96" s="10" t="s">
        <v>119</v>
      </c>
      <c r="B96" s="11">
        <v>2.13</v>
      </c>
      <c r="C96" s="11">
        <v>7</v>
      </c>
      <c r="D96" s="11">
        <v>0.66</v>
      </c>
      <c r="E96" s="11">
        <v>0.86</v>
      </c>
      <c r="F96" s="12"/>
      <c r="G96" s="12"/>
      <c r="H96" s="12"/>
      <c r="I96" s="12"/>
      <c r="J96" s="12"/>
      <c r="K96" s="12"/>
    </row>
    <row r="97" spans="1:11" ht="15" customHeight="1">
      <c r="A97" s="10" t="s">
        <v>58</v>
      </c>
      <c r="B97" s="12">
        <v>0</v>
      </c>
      <c r="C97" s="12"/>
      <c r="D97" s="11">
        <v>0.92</v>
      </c>
      <c r="E97" s="12">
        <v>0</v>
      </c>
      <c r="F97" s="12"/>
      <c r="G97" s="12"/>
      <c r="H97" s="12"/>
      <c r="I97" s="12"/>
      <c r="J97" s="12"/>
      <c r="K97" s="12"/>
    </row>
    <row r="98" spans="1:11" ht="15" customHeight="1">
      <c r="A98" s="10" t="s">
        <v>120</v>
      </c>
      <c r="B98" s="12"/>
      <c r="C98" s="11">
        <v>0.85</v>
      </c>
      <c r="D98" s="12"/>
      <c r="E98" s="12"/>
      <c r="F98" s="12"/>
      <c r="G98" s="12"/>
      <c r="H98" s="12"/>
      <c r="I98" s="12"/>
      <c r="J98" s="12"/>
      <c r="K98" s="12"/>
    </row>
    <row r="99" spans="1:11" ht="15" customHeight="1">
      <c r="A99" s="10" t="s">
        <v>121</v>
      </c>
      <c r="B99" s="12"/>
      <c r="C99" s="12"/>
      <c r="D99" s="12"/>
      <c r="E99" s="12"/>
      <c r="F99" s="12"/>
      <c r="G99" s="12"/>
      <c r="H99" s="12"/>
      <c r="I99" s="12"/>
      <c r="J99" s="12"/>
      <c r="K99" s="11">
        <v>57.68</v>
      </c>
    </row>
    <row r="100" spans="1:11" ht="15" customHeight="1">
      <c r="A100" s="18" t="s">
        <v>122</v>
      </c>
      <c r="B100" s="23">
        <v>84.43</v>
      </c>
      <c r="C100" s="19">
        <v>104.52</v>
      </c>
      <c r="D100" s="19">
        <v>105.92</v>
      </c>
      <c r="E100" s="19">
        <v>125.18</v>
      </c>
      <c r="F100" s="19">
        <v>283.61</v>
      </c>
      <c r="G100" s="19">
        <v>153.18</v>
      </c>
      <c r="H100" s="19">
        <v>209.93</v>
      </c>
      <c r="I100" s="19">
        <v>239.86</v>
      </c>
      <c r="J100" s="19">
        <v>218.28</v>
      </c>
      <c r="K100" s="19">
        <v>288.10000000000002</v>
      </c>
    </row>
    <row r="101" spans="1:11" ht="15" customHeight="1">
      <c r="A101" s="10" t="s">
        <v>118</v>
      </c>
      <c r="B101" s="13">
        <v>1.34</v>
      </c>
      <c r="C101" s="13">
        <v>0.75</v>
      </c>
      <c r="D101" s="13">
        <v>0.24</v>
      </c>
      <c r="E101" s="13">
        <v>7.0000000000000007E-2</v>
      </c>
      <c r="F101" s="11">
        <v>63.42</v>
      </c>
      <c r="G101" s="11">
        <v>51.88</v>
      </c>
      <c r="H101" s="11">
        <v>57.23</v>
      </c>
      <c r="I101" s="11">
        <v>45.46</v>
      </c>
      <c r="J101" s="11">
        <v>33.76</v>
      </c>
      <c r="K101" s="11">
        <v>26.75</v>
      </c>
    </row>
    <row r="102" spans="1:11" ht="15" customHeight="1">
      <c r="A102" s="10" t="s">
        <v>119</v>
      </c>
      <c r="B102" s="16">
        <v>132.97</v>
      </c>
      <c r="C102" s="16">
        <v>116.19</v>
      </c>
      <c r="D102" s="16">
        <v>149.88999999999999</v>
      </c>
      <c r="E102" s="16">
        <v>128.44</v>
      </c>
      <c r="F102" s="11">
        <v>0.33</v>
      </c>
      <c r="G102" s="15">
        <v>122.43</v>
      </c>
      <c r="H102" s="15">
        <v>286.92</v>
      </c>
      <c r="I102" s="15">
        <v>317.83</v>
      </c>
      <c r="J102" s="15">
        <v>307.45</v>
      </c>
      <c r="K102" s="15">
        <v>281.89</v>
      </c>
    </row>
    <row r="103" spans="1:11" ht="15" customHeight="1">
      <c r="A103" s="10" t="s">
        <v>119</v>
      </c>
      <c r="B103" s="15">
        <v>134.30000000000001</v>
      </c>
      <c r="C103" s="15">
        <v>116.94</v>
      </c>
      <c r="D103" s="15">
        <v>150.13999999999999</v>
      </c>
      <c r="E103" s="15">
        <v>128.51</v>
      </c>
      <c r="F103" s="12">
        <f t="shared" ref="F103:K103" si="0">F101+F102</f>
        <v>63.75</v>
      </c>
      <c r="G103" s="12">
        <f t="shared" si="0"/>
        <v>174.31</v>
      </c>
      <c r="H103" s="12">
        <f t="shared" si="0"/>
        <v>344.15000000000003</v>
      </c>
      <c r="I103" s="12">
        <f t="shared" si="0"/>
        <v>363.28999999999996</v>
      </c>
      <c r="J103" s="12">
        <f t="shared" si="0"/>
        <v>341.21</v>
      </c>
      <c r="K103" s="12">
        <f t="shared" si="0"/>
        <v>308.64</v>
      </c>
    </row>
    <row r="104" spans="1:11" ht="15" customHeight="1">
      <c r="A104" s="10" t="s">
        <v>123</v>
      </c>
      <c r="B104" s="11">
        <v>13.89</v>
      </c>
      <c r="C104" s="11">
        <v>18.920000000000002</v>
      </c>
      <c r="D104" s="11">
        <v>30.42</v>
      </c>
      <c r="E104" s="11">
        <v>29.83</v>
      </c>
      <c r="F104" s="11">
        <v>16.2</v>
      </c>
      <c r="G104" s="11">
        <v>17.21</v>
      </c>
      <c r="H104" s="11">
        <v>24.91</v>
      </c>
      <c r="I104" s="11">
        <v>27.27</v>
      </c>
      <c r="J104" s="11">
        <v>22.53</v>
      </c>
      <c r="K104" s="11">
        <v>19.829999999999998</v>
      </c>
    </row>
    <row r="105" spans="1:11" ht="15" customHeight="1">
      <c r="A105" s="10" t="s">
        <v>124</v>
      </c>
      <c r="B105" s="12"/>
      <c r="C105" s="12"/>
      <c r="D105" s="13">
        <v>10.119999999999999</v>
      </c>
      <c r="E105" s="13">
        <v>7.06</v>
      </c>
      <c r="F105" s="13">
        <v>11.94</v>
      </c>
      <c r="G105" s="13">
        <v>15.45</v>
      </c>
      <c r="H105" s="13">
        <v>20.78</v>
      </c>
      <c r="I105" s="13">
        <v>20.61</v>
      </c>
      <c r="J105" s="13">
        <v>20.9</v>
      </c>
      <c r="K105" s="13">
        <v>19.36</v>
      </c>
    </row>
    <row r="106" spans="1:11" ht="15" customHeight="1">
      <c r="A106" s="10" t="s">
        <v>125</v>
      </c>
      <c r="B106" s="12"/>
      <c r="C106" s="12"/>
      <c r="D106" s="13">
        <v>1.44</v>
      </c>
      <c r="E106" s="13">
        <v>7.13</v>
      </c>
      <c r="F106" s="13">
        <v>1.46</v>
      </c>
      <c r="G106" s="13">
        <v>0.68</v>
      </c>
      <c r="H106" s="13">
        <v>0.21</v>
      </c>
      <c r="I106" s="13">
        <v>0.5</v>
      </c>
      <c r="J106" s="14">
        <v>0</v>
      </c>
      <c r="K106" s="12"/>
    </row>
    <row r="107" spans="1:11" ht="15" customHeight="1">
      <c r="A107" s="10" t="s">
        <v>111</v>
      </c>
      <c r="B107" s="12"/>
      <c r="C107" s="12"/>
      <c r="D107" s="13">
        <v>9.2899999999999991</v>
      </c>
      <c r="E107" s="13">
        <v>3.06</v>
      </c>
      <c r="F107" s="13">
        <v>2.29</v>
      </c>
      <c r="G107" s="14">
        <v>0</v>
      </c>
      <c r="H107" s="13">
        <v>3.46</v>
      </c>
      <c r="I107" s="13">
        <v>1.54</v>
      </c>
      <c r="J107" s="14">
        <v>0</v>
      </c>
      <c r="K107" s="12"/>
    </row>
    <row r="108" spans="1:11" ht="15" customHeight="1">
      <c r="A108" s="10" t="s">
        <v>110</v>
      </c>
      <c r="B108" s="12"/>
      <c r="C108" s="12"/>
      <c r="D108" s="12"/>
      <c r="E108" s="12"/>
      <c r="F108" s="12"/>
      <c r="G108" s="12"/>
      <c r="H108" s="13">
        <v>0.18</v>
      </c>
      <c r="I108" s="13">
        <v>0.19</v>
      </c>
      <c r="J108" s="14">
        <v>0</v>
      </c>
      <c r="K108" s="12"/>
    </row>
    <row r="109" spans="1:11" ht="15" customHeight="1">
      <c r="A109" s="10" t="s">
        <v>115</v>
      </c>
      <c r="B109" s="12"/>
      <c r="C109" s="12"/>
      <c r="D109" s="13">
        <v>8.94</v>
      </c>
      <c r="E109" s="13">
        <v>10.69</v>
      </c>
      <c r="F109" s="14">
        <v>0</v>
      </c>
      <c r="G109" s="12"/>
      <c r="H109" s="12"/>
      <c r="I109" s="12"/>
      <c r="J109" s="12"/>
      <c r="K109" s="12"/>
    </row>
    <row r="110" spans="1:11" ht="15" customHeight="1">
      <c r="A110" s="10" t="s">
        <v>116</v>
      </c>
      <c r="B110" s="12"/>
      <c r="C110" s="12"/>
      <c r="D110" s="13">
        <v>0.63</v>
      </c>
      <c r="E110" s="13">
        <v>1.88</v>
      </c>
      <c r="F110" s="13">
        <v>0.51</v>
      </c>
      <c r="G110" s="13">
        <v>1.08</v>
      </c>
      <c r="H110" s="13">
        <v>0.28999999999999998</v>
      </c>
      <c r="I110" s="13">
        <v>4.43</v>
      </c>
      <c r="J110" s="13">
        <v>1.64</v>
      </c>
      <c r="K110" s="13">
        <v>0.47</v>
      </c>
    </row>
    <row r="111" spans="1:11" ht="15" customHeight="1">
      <c r="A111" s="10" t="s">
        <v>126</v>
      </c>
      <c r="B111" s="12"/>
      <c r="C111" s="12"/>
      <c r="D111" s="12"/>
      <c r="E111" s="12"/>
      <c r="F111" s="12"/>
      <c r="G111" s="13">
        <v>0.86</v>
      </c>
      <c r="H111" s="13">
        <v>0.11</v>
      </c>
      <c r="I111" s="13">
        <v>4.22</v>
      </c>
      <c r="J111" s="12"/>
      <c r="K111" s="12"/>
    </row>
    <row r="112" spans="1:11" ht="15" customHeight="1">
      <c r="A112" s="10" t="s">
        <v>127</v>
      </c>
      <c r="B112" s="12"/>
      <c r="C112" s="12"/>
      <c r="D112" s="12"/>
      <c r="E112" s="12"/>
      <c r="F112" s="12"/>
      <c r="G112" s="13">
        <v>0.22</v>
      </c>
      <c r="H112" s="13">
        <v>0.18</v>
      </c>
      <c r="I112" s="13">
        <v>0.21</v>
      </c>
      <c r="J112" s="12"/>
      <c r="K112" s="12"/>
    </row>
    <row r="113" spans="1:11" ht="15" customHeight="1">
      <c r="A113" s="10" t="s">
        <v>58</v>
      </c>
      <c r="B113" s="11">
        <v>1.4</v>
      </c>
      <c r="C113" s="11">
        <v>0.5</v>
      </c>
      <c r="D113" s="12"/>
      <c r="E113" s="12"/>
      <c r="F113" s="12"/>
      <c r="G113" s="12"/>
      <c r="H113" s="12"/>
      <c r="I113" s="12"/>
      <c r="J113" s="12"/>
      <c r="K113" s="12"/>
    </row>
    <row r="114" spans="1:11" ht="15" customHeight="1">
      <c r="A114" s="10" t="s">
        <v>128</v>
      </c>
      <c r="B114" s="11">
        <v>10.59</v>
      </c>
      <c r="C114" s="11">
        <v>9.3800000000000008</v>
      </c>
      <c r="D114" s="11">
        <v>27.58</v>
      </c>
      <c r="E114" s="11">
        <v>16.239999999999998</v>
      </c>
      <c r="F114" s="11">
        <v>11.92</v>
      </c>
      <c r="G114" s="11">
        <v>7.25</v>
      </c>
      <c r="H114" s="11">
        <v>27.86</v>
      </c>
      <c r="I114" s="11">
        <v>33.6</v>
      </c>
      <c r="J114" s="11">
        <v>30.14</v>
      </c>
      <c r="K114" s="11">
        <v>17.18</v>
      </c>
    </row>
    <row r="115" spans="1:11" ht="15" customHeight="1">
      <c r="A115" s="10" t="s">
        <v>120</v>
      </c>
      <c r="B115" s="11">
        <v>2.5299999999999998</v>
      </c>
      <c r="C115" s="12">
        <v>0</v>
      </c>
      <c r="D115" s="12"/>
      <c r="E115" s="12"/>
      <c r="F115" s="12"/>
      <c r="G115" s="12"/>
      <c r="H115" s="12"/>
      <c r="I115" s="12"/>
      <c r="J115" s="12"/>
      <c r="K115" s="12"/>
    </row>
    <row r="116" spans="1:11" ht="15" customHeight="1">
      <c r="A116" s="10" t="s">
        <v>129</v>
      </c>
      <c r="B116" s="12"/>
      <c r="C116" s="12"/>
      <c r="D116" s="12"/>
      <c r="E116" s="12"/>
      <c r="F116" s="12"/>
      <c r="G116" s="12"/>
      <c r="H116" s="11">
        <v>2.98</v>
      </c>
      <c r="I116" s="12">
        <v>0</v>
      </c>
      <c r="J116" s="12"/>
      <c r="K116" s="12"/>
    </row>
    <row r="117" spans="1:11" ht="15" customHeight="1">
      <c r="A117" s="18" t="s">
        <v>130</v>
      </c>
      <c r="B117" s="19">
        <v>162.69999999999999</v>
      </c>
      <c r="C117" s="19">
        <v>145.74</v>
      </c>
      <c r="D117" s="19">
        <v>208.13</v>
      </c>
      <c r="E117" s="19">
        <v>174.58</v>
      </c>
      <c r="F117" s="23">
        <v>91.87</v>
      </c>
      <c r="G117" s="19">
        <v>198.77</v>
      </c>
      <c r="H117" s="19">
        <v>399.91</v>
      </c>
      <c r="I117" s="19">
        <v>424.16</v>
      </c>
      <c r="J117" s="19">
        <v>393.88</v>
      </c>
      <c r="K117" s="19">
        <v>345.65</v>
      </c>
    </row>
    <row r="118" spans="1:11" ht="15" customHeight="1">
      <c r="A118" s="18" t="s">
        <v>131</v>
      </c>
      <c r="B118" s="19">
        <v>247.13</v>
      </c>
      <c r="C118" s="19">
        <v>250.26</v>
      </c>
      <c r="D118" s="19">
        <v>314.05</v>
      </c>
      <c r="E118" s="19">
        <v>299.76</v>
      </c>
      <c r="F118" s="19">
        <v>375.47</v>
      </c>
      <c r="G118" s="19">
        <v>351.95</v>
      </c>
      <c r="H118" s="19">
        <v>609.84</v>
      </c>
      <c r="I118" s="19">
        <v>664.02</v>
      </c>
      <c r="J118" s="19">
        <v>612.16</v>
      </c>
      <c r="K118" s="19">
        <v>633.74</v>
      </c>
    </row>
    <row r="119" spans="1:11" ht="15" customHeight="1">
      <c r="A119" s="10" t="s">
        <v>132</v>
      </c>
      <c r="B119" s="12"/>
      <c r="C119" s="20">
        <v>-8.6999999999999993</v>
      </c>
      <c r="D119" s="20">
        <v>-12.49</v>
      </c>
      <c r="E119" s="20">
        <v>-11.98</v>
      </c>
      <c r="F119" s="22">
        <v>-364.86</v>
      </c>
      <c r="G119" s="20">
        <v>-19.54</v>
      </c>
      <c r="H119" s="20">
        <v>-42.77</v>
      </c>
      <c r="I119" s="20">
        <v>-34.56</v>
      </c>
      <c r="J119" s="12"/>
      <c r="K119" s="12"/>
    </row>
    <row r="120" spans="1:11" ht="15" customHeight="1">
      <c r="A120" s="10" t="s">
        <v>133</v>
      </c>
      <c r="B120" s="15">
        <v>452.47</v>
      </c>
      <c r="C120" s="15">
        <v>468.7</v>
      </c>
      <c r="D120" s="15">
        <v>491.68</v>
      </c>
      <c r="E120" s="15">
        <v>503.53</v>
      </c>
      <c r="F120" s="15">
        <v>874.51</v>
      </c>
      <c r="G120" s="15">
        <v>549.4</v>
      </c>
      <c r="H120" s="15">
        <v>769.1</v>
      </c>
      <c r="I120" s="15">
        <v>782.23</v>
      </c>
      <c r="J120" s="15">
        <v>769.3</v>
      </c>
      <c r="K120" s="15">
        <v>798.09</v>
      </c>
    </row>
    <row r="121" spans="1:11" ht="15" customHeight="1">
      <c r="A121" s="10" t="s">
        <v>134</v>
      </c>
      <c r="B121" s="11">
        <v>0.31</v>
      </c>
      <c r="C121" s="11">
        <v>0.23</v>
      </c>
      <c r="D121" s="12"/>
      <c r="E121" s="12"/>
      <c r="F121" s="12"/>
      <c r="G121" s="12"/>
      <c r="H121" s="12"/>
      <c r="I121" s="12"/>
      <c r="J121" s="12"/>
      <c r="K121" s="12"/>
    </row>
    <row r="122" spans="1:11" ht="15" customHeight="1">
      <c r="A122" s="10" t="s">
        <v>135</v>
      </c>
      <c r="B122" s="11">
        <v>14.08</v>
      </c>
      <c r="C122" s="11">
        <v>18.48</v>
      </c>
      <c r="D122" s="11">
        <v>18.55</v>
      </c>
      <c r="E122" s="11">
        <v>21.88</v>
      </c>
      <c r="F122" s="11">
        <v>24.45</v>
      </c>
      <c r="G122" s="11">
        <v>30.43</v>
      </c>
      <c r="H122" s="11">
        <v>42.36</v>
      </c>
      <c r="I122" s="11">
        <v>48.61</v>
      </c>
      <c r="J122" s="11">
        <v>50.14</v>
      </c>
      <c r="K122" s="11">
        <v>21.39</v>
      </c>
    </row>
    <row r="123" spans="1:11" ht="15" customHeight="1">
      <c r="A123" s="10" t="s">
        <v>136</v>
      </c>
      <c r="B123" s="11">
        <v>60.56</v>
      </c>
      <c r="C123" s="11">
        <v>46.78</v>
      </c>
      <c r="D123" s="11">
        <v>10.4</v>
      </c>
      <c r="E123" s="11">
        <v>54.56</v>
      </c>
      <c r="F123" s="11">
        <v>40.24</v>
      </c>
      <c r="G123" s="11">
        <v>40.79</v>
      </c>
      <c r="H123" s="11">
        <v>38.44</v>
      </c>
      <c r="I123" s="11">
        <v>47.17</v>
      </c>
      <c r="J123" s="11">
        <v>42.43</v>
      </c>
      <c r="K123" s="11">
        <v>56.24</v>
      </c>
    </row>
    <row r="124" spans="1:11" ht="15" customHeight="1">
      <c r="A124" s="10" t="s">
        <v>137</v>
      </c>
      <c r="B124" s="13">
        <v>60.56</v>
      </c>
      <c r="C124" s="13">
        <v>46.78</v>
      </c>
      <c r="D124" s="13">
        <v>36.86</v>
      </c>
      <c r="E124" s="13">
        <v>54.56</v>
      </c>
      <c r="F124" s="13">
        <v>40.79</v>
      </c>
      <c r="G124" s="13">
        <v>42.32</v>
      </c>
      <c r="H124" s="13">
        <v>37.49</v>
      </c>
      <c r="I124" s="12"/>
      <c r="J124" s="12"/>
      <c r="K124" s="12"/>
    </row>
    <row r="125" spans="1:11" ht="15" customHeight="1">
      <c r="A125" s="10" t="s">
        <v>138</v>
      </c>
      <c r="B125" s="14">
        <v>0</v>
      </c>
      <c r="C125" s="14">
        <v>0</v>
      </c>
      <c r="D125" s="17">
        <v>-26.46</v>
      </c>
      <c r="E125" s="14">
        <v>0</v>
      </c>
      <c r="F125" s="12"/>
      <c r="G125" s="12"/>
      <c r="H125" s="12"/>
      <c r="I125" s="12"/>
      <c r="J125" s="12"/>
      <c r="K125" s="12"/>
    </row>
    <row r="126" spans="1:11" ht="15" customHeight="1">
      <c r="A126" s="10" t="s">
        <v>139</v>
      </c>
      <c r="B126" s="12"/>
      <c r="C126" s="12"/>
      <c r="D126" s="14">
        <v>0</v>
      </c>
      <c r="E126" s="14">
        <v>0</v>
      </c>
      <c r="F126" s="17">
        <v>-0.54</v>
      </c>
      <c r="G126" s="17">
        <v>-1.53</v>
      </c>
      <c r="H126" s="13">
        <v>0.95</v>
      </c>
      <c r="I126" s="12"/>
      <c r="J126" s="12"/>
      <c r="K126" s="12"/>
    </row>
    <row r="127" spans="1:11" ht="15" customHeight="1">
      <c r="A127" s="10" t="s">
        <v>140</v>
      </c>
      <c r="B127" s="22">
        <v>-176.83</v>
      </c>
      <c r="C127" s="22">
        <v>-184.9</v>
      </c>
      <c r="D127" s="20">
        <v>-96.07</v>
      </c>
      <c r="E127" s="22">
        <v>-209.56</v>
      </c>
      <c r="F127" s="22">
        <v>-214.69</v>
      </c>
      <c r="G127" s="22">
        <v>-217.64</v>
      </c>
      <c r="H127" s="22">
        <v>-217.41</v>
      </c>
      <c r="I127" s="22">
        <v>-243.57</v>
      </c>
      <c r="J127" s="22">
        <v>-259.33999999999997</v>
      </c>
      <c r="K127" s="22">
        <v>-275.93</v>
      </c>
    </row>
    <row r="128" spans="1:11" ht="15" customHeight="1">
      <c r="A128" s="10" t="s">
        <v>141</v>
      </c>
      <c r="B128" s="12"/>
      <c r="C128" s="12"/>
      <c r="D128" s="12"/>
      <c r="E128" s="12"/>
      <c r="F128" s="12"/>
      <c r="G128" s="12"/>
      <c r="H128" s="12"/>
      <c r="I128" s="12"/>
      <c r="J128" s="12"/>
      <c r="K128" s="11">
        <v>17.43</v>
      </c>
    </row>
    <row r="129" spans="1:11" ht="15" customHeight="1">
      <c r="A129" s="10" t="s">
        <v>142</v>
      </c>
      <c r="B129" s="12"/>
      <c r="C129" s="12"/>
      <c r="D129" s="12"/>
      <c r="E129" s="12"/>
      <c r="F129" s="12"/>
      <c r="G129" s="12"/>
      <c r="H129" s="20">
        <v>-0.24</v>
      </c>
      <c r="I129" s="12">
        <v>0</v>
      </c>
      <c r="J129" s="12"/>
      <c r="K129" s="12"/>
    </row>
    <row r="130" spans="1:11" ht="15" customHeight="1">
      <c r="A130" s="18" t="s">
        <v>143</v>
      </c>
      <c r="B130" s="19">
        <v>350.6</v>
      </c>
      <c r="C130" s="19">
        <v>340.59</v>
      </c>
      <c r="D130" s="19">
        <v>412.06</v>
      </c>
      <c r="E130" s="19">
        <v>358.43</v>
      </c>
      <c r="F130" s="19">
        <v>359.65</v>
      </c>
      <c r="G130" s="19">
        <v>383.45</v>
      </c>
      <c r="H130" s="19">
        <v>589.48</v>
      </c>
      <c r="I130" s="19">
        <v>599.87</v>
      </c>
      <c r="J130" s="19">
        <v>602.54</v>
      </c>
      <c r="K130" s="19">
        <v>617.22</v>
      </c>
    </row>
    <row r="131" spans="1:11" ht="15" customHeight="1">
      <c r="A131" s="18" t="s">
        <v>144</v>
      </c>
      <c r="B131" s="19">
        <v>350.6</v>
      </c>
      <c r="C131" s="19">
        <v>340.59</v>
      </c>
      <c r="D131" s="19">
        <v>412.06</v>
      </c>
      <c r="E131" s="19">
        <v>358.43</v>
      </c>
      <c r="F131" s="19">
        <v>359.65</v>
      </c>
      <c r="G131" s="19">
        <v>383.45</v>
      </c>
      <c r="H131" s="19">
        <v>589.36</v>
      </c>
      <c r="I131" s="19">
        <v>599.87</v>
      </c>
      <c r="J131" s="19">
        <v>602.54</v>
      </c>
      <c r="K131" s="19">
        <v>617.22</v>
      </c>
    </row>
    <row r="132" spans="1:11" ht="15" customHeight="1">
      <c r="A132" s="10" t="s">
        <v>145</v>
      </c>
      <c r="B132" s="12"/>
      <c r="C132" s="12"/>
      <c r="D132" s="12"/>
      <c r="E132" s="12"/>
      <c r="F132" s="12"/>
      <c r="G132" s="12"/>
      <c r="H132" s="20">
        <v>-0.11</v>
      </c>
      <c r="I132" s="12">
        <v>0</v>
      </c>
      <c r="J132" s="12"/>
      <c r="K132" s="12"/>
    </row>
    <row r="133" spans="1:11" ht="15" customHeight="1">
      <c r="A133" s="18" t="s">
        <v>146</v>
      </c>
      <c r="B133" s="24"/>
      <c r="C133" s="24"/>
      <c r="D133" s="24"/>
      <c r="E133" s="24"/>
      <c r="F133" s="24"/>
      <c r="G133" s="24"/>
      <c r="H133" s="25">
        <v>-0.11</v>
      </c>
      <c r="I133" s="24">
        <v>0</v>
      </c>
      <c r="J133" s="24"/>
      <c r="K133" s="24"/>
    </row>
    <row r="134" spans="1:11" ht="15" customHeight="1">
      <c r="A134" s="18" t="s">
        <v>147</v>
      </c>
      <c r="B134" s="19">
        <v>597.72</v>
      </c>
      <c r="C134" s="19">
        <v>590.85</v>
      </c>
      <c r="D134" s="19">
        <v>726.12</v>
      </c>
      <c r="E134" s="19">
        <v>658.18</v>
      </c>
      <c r="F134" s="19">
        <v>735.13</v>
      </c>
      <c r="G134" s="19">
        <v>735.4</v>
      </c>
      <c r="H134" s="19">
        <v>1199.2</v>
      </c>
      <c r="I134" s="19">
        <v>1263.8900000000001</v>
      </c>
      <c r="J134" s="19">
        <v>1214.69</v>
      </c>
      <c r="K134" s="19">
        <v>1250.96</v>
      </c>
    </row>
    <row r="135" spans="1:11" ht="15" customHeight="1">
      <c r="A135" s="10" t="s">
        <v>148</v>
      </c>
      <c r="B135" s="11">
        <v>36.47</v>
      </c>
      <c r="C135" s="11">
        <v>36.86</v>
      </c>
      <c r="D135" s="11">
        <v>38.450000000000003</v>
      </c>
      <c r="E135" s="11">
        <v>39.01</v>
      </c>
      <c r="F135" s="11">
        <v>39.83</v>
      </c>
      <c r="G135" s="11">
        <v>40.43</v>
      </c>
      <c r="H135" s="11">
        <v>44.12</v>
      </c>
      <c r="I135" s="11">
        <v>44.87</v>
      </c>
      <c r="J135" s="11">
        <v>45.45</v>
      </c>
      <c r="K135" s="11">
        <v>46</v>
      </c>
    </row>
    <row r="136" spans="1:11" ht="15" customHeight="1">
      <c r="A136" s="10" t="s">
        <v>149</v>
      </c>
      <c r="B136" s="12">
        <v>0</v>
      </c>
      <c r="C136" s="11">
        <v>0.3</v>
      </c>
      <c r="D136" s="11">
        <v>0.34</v>
      </c>
      <c r="E136" s="11">
        <v>0.28999999999999998</v>
      </c>
      <c r="F136" s="11">
        <v>0.36</v>
      </c>
      <c r="G136" s="11">
        <v>0.4</v>
      </c>
      <c r="H136" s="11">
        <v>0.71</v>
      </c>
      <c r="I136" s="11">
        <v>0.56999999999999995</v>
      </c>
      <c r="J136" s="11">
        <v>0.42</v>
      </c>
      <c r="K136" s="11">
        <v>0.21</v>
      </c>
    </row>
    <row r="137" spans="1:11" ht="15" customHeight="1">
      <c r="A137" s="10" t="s">
        <v>150</v>
      </c>
      <c r="B137" s="11">
        <v>36.47</v>
      </c>
      <c r="C137" s="11">
        <v>37.15</v>
      </c>
      <c r="D137" s="11">
        <v>38.79</v>
      </c>
      <c r="E137" s="11">
        <v>39.299999999999997</v>
      </c>
      <c r="F137" s="11">
        <v>40.19</v>
      </c>
      <c r="G137" s="11">
        <v>40.82</v>
      </c>
      <c r="H137" s="11">
        <v>44.83</v>
      </c>
      <c r="I137" s="11">
        <v>45.44</v>
      </c>
      <c r="J137" s="11">
        <v>45.87</v>
      </c>
      <c r="K137" s="11">
        <v>46.22</v>
      </c>
    </row>
    <row r="138" spans="1:11" ht="15" customHeight="1">
      <c r="A138" s="10" t="s">
        <v>151</v>
      </c>
      <c r="B138" s="12"/>
      <c r="C138" s="12"/>
      <c r="D138" s="12"/>
      <c r="E138" s="12"/>
      <c r="F138" s="12"/>
      <c r="G138" s="12"/>
      <c r="H138" s="12"/>
      <c r="I138" s="12"/>
      <c r="J138" s="15">
        <v>650</v>
      </c>
      <c r="K138" s="15">
        <v>650</v>
      </c>
    </row>
    <row r="139" spans="1:11" ht="15" customHeight="1">
      <c r="A139" s="10" t="s">
        <v>152</v>
      </c>
      <c r="B139" s="15">
        <v>128.15</v>
      </c>
      <c r="C139" s="15">
        <v>117</v>
      </c>
      <c r="D139" s="12"/>
      <c r="E139" s="15">
        <v>129.69</v>
      </c>
      <c r="F139" s="15">
        <v>138.4</v>
      </c>
      <c r="G139" s="15">
        <v>123</v>
      </c>
      <c r="H139" s="15">
        <v>287.58999999999997</v>
      </c>
      <c r="I139" s="15">
        <v>319.58</v>
      </c>
      <c r="J139" s="15">
        <v>308.63</v>
      </c>
      <c r="K139" s="12"/>
    </row>
    <row r="140" spans="1:11" ht="15" customHeight="1">
      <c r="A140" s="10" t="s">
        <v>153</v>
      </c>
      <c r="B140" s="13">
        <v>1.37</v>
      </c>
      <c r="C140" s="14">
        <v>0</v>
      </c>
      <c r="D140" s="12"/>
      <c r="E140" s="13">
        <v>0.67</v>
      </c>
      <c r="F140" s="16">
        <v>138.07</v>
      </c>
      <c r="G140" s="14">
        <v>0</v>
      </c>
      <c r="H140" s="14">
        <v>0</v>
      </c>
      <c r="I140" s="12"/>
      <c r="J140" s="14">
        <v>0</v>
      </c>
      <c r="K140" s="12">
        <v>0</v>
      </c>
    </row>
    <row r="141" spans="1:11" ht="15" customHeight="1">
      <c r="A141" s="10" t="s">
        <v>154</v>
      </c>
      <c r="B141" s="13">
        <v>0.27</v>
      </c>
      <c r="C141" s="14">
        <v>0</v>
      </c>
      <c r="D141" s="12"/>
      <c r="E141" s="16">
        <v>128.75</v>
      </c>
      <c r="F141" s="13">
        <v>0.14000000000000001</v>
      </c>
      <c r="G141" s="16">
        <v>123</v>
      </c>
      <c r="H141" s="16">
        <v>287.58999999999997</v>
      </c>
      <c r="I141" s="14">
        <v>0</v>
      </c>
      <c r="J141" s="16">
        <v>308.63</v>
      </c>
      <c r="K141" s="15">
        <v>282.86</v>
      </c>
    </row>
    <row r="142" spans="1:11" ht="15" customHeight="1">
      <c r="A142" s="10" t="s">
        <v>155</v>
      </c>
      <c r="B142" s="16">
        <v>126.17</v>
      </c>
      <c r="C142" s="16">
        <v>117</v>
      </c>
      <c r="D142" s="12"/>
      <c r="E142" s="13">
        <v>0.15</v>
      </c>
      <c r="F142" s="13">
        <v>0.14000000000000001</v>
      </c>
      <c r="G142" s="14">
        <v>0</v>
      </c>
      <c r="H142" s="14">
        <v>0</v>
      </c>
      <c r="I142" s="16">
        <v>319.58</v>
      </c>
      <c r="J142" s="14">
        <v>0</v>
      </c>
      <c r="K142" s="12">
        <v>0</v>
      </c>
    </row>
    <row r="143" spans="1:11" ht="15" customHeight="1">
      <c r="A143" s="10" t="s">
        <v>156</v>
      </c>
      <c r="B143" s="13">
        <v>0.34</v>
      </c>
      <c r="C143" s="14">
        <v>0</v>
      </c>
      <c r="D143" s="12"/>
      <c r="E143" s="13">
        <v>0.12</v>
      </c>
      <c r="F143" s="13">
        <v>0.05</v>
      </c>
      <c r="G143" s="14">
        <v>0</v>
      </c>
      <c r="H143" s="14">
        <v>0</v>
      </c>
      <c r="I143" s="12"/>
      <c r="J143" s="14">
        <v>0</v>
      </c>
      <c r="K143" s="12">
        <v>0</v>
      </c>
    </row>
    <row r="144" spans="1:11" ht="15" customHeight="1">
      <c r="A144" s="10" t="s">
        <v>157</v>
      </c>
      <c r="B144" s="11">
        <v>2.35</v>
      </c>
      <c r="C144" s="11">
        <v>1.69</v>
      </c>
      <c r="D144" s="12"/>
      <c r="E144" s="11">
        <v>0.28000000000000003</v>
      </c>
      <c r="F144" s="11">
        <v>85.79</v>
      </c>
      <c r="G144" s="11">
        <v>70.430000000000007</v>
      </c>
      <c r="H144" s="11">
        <v>77.19</v>
      </c>
      <c r="I144" s="11">
        <v>65.08</v>
      </c>
      <c r="J144" s="11">
        <v>50.73</v>
      </c>
      <c r="K144" s="12"/>
    </row>
    <row r="145" spans="1:11" ht="15" customHeight="1">
      <c r="A145" s="10" t="s">
        <v>158</v>
      </c>
      <c r="B145" s="13">
        <v>0.92</v>
      </c>
      <c r="C145" s="13">
        <v>0.91</v>
      </c>
      <c r="D145" s="12"/>
      <c r="E145" s="13">
        <v>0.2</v>
      </c>
      <c r="F145" s="13">
        <v>14.89</v>
      </c>
      <c r="G145" s="13">
        <v>13.79</v>
      </c>
      <c r="H145" s="13">
        <v>15.67</v>
      </c>
      <c r="I145" s="13">
        <v>16.45</v>
      </c>
      <c r="J145" s="13">
        <v>15.39</v>
      </c>
      <c r="K145" s="11">
        <v>14.69</v>
      </c>
    </row>
    <row r="146" spans="1:11" ht="15" customHeight="1">
      <c r="A146" s="10" t="s">
        <v>159</v>
      </c>
      <c r="B146" s="13">
        <v>1.33</v>
      </c>
      <c r="C146" s="13">
        <v>0.76</v>
      </c>
      <c r="D146" s="12"/>
      <c r="E146" s="13">
        <v>7.0000000000000007E-2</v>
      </c>
      <c r="F146" s="13">
        <v>26.95</v>
      </c>
      <c r="G146" s="13">
        <v>25.74</v>
      </c>
      <c r="H146" s="13">
        <v>29.46</v>
      </c>
      <c r="I146" s="13">
        <v>24.83</v>
      </c>
      <c r="J146" s="13">
        <v>19.88</v>
      </c>
      <c r="K146" s="11">
        <v>20.79</v>
      </c>
    </row>
    <row r="147" spans="1:11" ht="15" customHeight="1">
      <c r="A147" s="10" t="s">
        <v>160</v>
      </c>
      <c r="B147" s="13">
        <v>0.1</v>
      </c>
      <c r="C147" s="13">
        <v>0.03</v>
      </c>
      <c r="D147" s="12"/>
      <c r="E147" s="13">
        <v>0.01</v>
      </c>
      <c r="F147" s="13">
        <v>23.2</v>
      </c>
      <c r="G147" s="13">
        <v>18.489999999999998</v>
      </c>
      <c r="H147" s="13">
        <v>17.59</v>
      </c>
      <c r="I147" s="13">
        <v>14.26</v>
      </c>
      <c r="J147" s="13">
        <v>10.56</v>
      </c>
      <c r="K147" s="11">
        <v>9.24</v>
      </c>
    </row>
    <row r="148" spans="1:11" ht="15" customHeight="1">
      <c r="A148" s="10" t="s">
        <v>161</v>
      </c>
      <c r="B148" s="14">
        <v>0</v>
      </c>
      <c r="C148" s="14">
        <v>0</v>
      </c>
      <c r="D148" s="12"/>
      <c r="E148" s="14">
        <v>0</v>
      </c>
      <c r="F148" s="13">
        <v>20.75</v>
      </c>
      <c r="G148" s="13">
        <v>12.41</v>
      </c>
      <c r="H148" s="13">
        <v>14.47</v>
      </c>
      <c r="I148" s="13">
        <v>9.5500000000000007</v>
      </c>
      <c r="J148" s="13">
        <v>4.8899999999999997</v>
      </c>
      <c r="K148" s="11">
        <v>3.78</v>
      </c>
    </row>
    <row r="149" spans="1:11" ht="15" customHeight="1">
      <c r="A149" s="10" t="s">
        <v>162</v>
      </c>
      <c r="B149" s="11">
        <v>36.47</v>
      </c>
      <c r="C149" s="11">
        <v>36.86</v>
      </c>
      <c r="D149" s="11">
        <v>38.450000000000003</v>
      </c>
      <c r="E149" s="11">
        <v>39.01</v>
      </c>
      <c r="F149" s="11">
        <v>39.83</v>
      </c>
      <c r="G149" s="11">
        <v>40.43</v>
      </c>
      <c r="H149" s="11">
        <v>44.12</v>
      </c>
      <c r="I149" s="11">
        <v>44.87</v>
      </c>
      <c r="J149" s="11">
        <v>45.45</v>
      </c>
      <c r="K149" s="11">
        <v>46</v>
      </c>
    </row>
    <row r="150" spans="1:11" ht="15" customHeight="1">
      <c r="A150" s="10" t="s">
        <v>163</v>
      </c>
      <c r="B150" s="12">
        <v>0</v>
      </c>
      <c r="C150" s="11">
        <v>0.3</v>
      </c>
      <c r="D150" s="11">
        <v>0.34</v>
      </c>
      <c r="E150" s="11">
        <v>0.28999999999999998</v>
      </c>
      <c r="F150" s="11">
        <v>0.36</v>
      </c>
      <c r="G150" s="11">
        <v>0.4</v>
      </c>
      <c r="H150" s="11">
        <v>0.71</v>
      </c>
      <c r="I150" s="11">
        <v>0.56999999999999995</v>
      </c>
      <c r="J150" s="11">
        <v>0.42</v>
      </c>
      <c r="K150" s="11">
        <v>0.21</v>
      </c>
    </row>
    <row r="151" spans="1:11" ht="15" customHeight="1">
      <c r="A151" s="10" t="s">
        <v>164</v>
      </c>
      <c r="B151" s="11">
        <v>1</v>
      </c>
      <c r="C151" s="11">
        <v>1</v>
      </c>
      <c r="D151" s="11">
        <v>1</v>
      </c>
      <c r="E151" s="11">
        <v>1</v>
      </c>
      <c r="F151" s="11">
        <v>1</v>
      </c>
      <c r="G151" s="11">
        <v>1</v>
      </c>
      <c r="H151" s="11">
        <v>1</v>
      </c>
      <c r="I151" s="11">
        <v>1</v>
      </c>
      <c r="J151" s="11">
        <v>1</v>
      </c>
      <c r="K151" s="11">
        <v>1</v>
      </c>
    </row>
    <row r="152" spans="1:11" ht="15" customHeight="1">
      <c r="A152" s="10" t="s">
        <v>165</v>
      </c>
      <c r="B152" s="11">
        <v>36.47</v>
      </c>
      <c r="C152" s="11">
        <v>37.15</v>
      </c>
      <c r="D152" s="11">
        <v>38.79</v>
      </c>
      <c r="E152" s="11">
        <v>39.299999999999997</v>
      </c>
      <c r="F152" s="11">
        <v>40.19</v>
      </c>
      <c r="G152" s="11">
        <v>40.82</v>
      </c>
      <c r="H152" s="11">
        <v>44.83</v>
      </c>
      <c r="I152" s="11">
        <v>45.44</v>
      </c>
      <c r="J152" s="11">
        <v>45.87</v>
      </c>
      <c r="K152" s="11">
        <v>46.22</v>
      </c>
    </row>
  </sheetData>
  <mergeCells count="50"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B12"/>
    <mergeCell ref="B13"/>
    <mergeCell ref="B14"/>
    <mergeCell ref="B15"/>
    <mergeCell ref="C12"/>
    <mergeCell ref="C13"/>
    <mergeCell ref="C14"/>
    <mergeCell ref="C15"/>
    <mergeCell ref="D12"/>
    <mergeCell ref="D13"/>
    <mergeCell ref="D14"/>
    <mergeCell ref="D15"/>
    <mergeCell ref="E12"/>
    <mergeCell ref="E13"/>
    <mergeCell ref="E14"/>
    <mergeCell ref="E15"/>
    <mergeCell ref="F12"/>
    <mergeCell ref="F13"/>
    <mergeCell ref="F14"/>
    <mergeCell ref="F15"/>
    <mergeCell ref="G12"/>
    <mergeCell ref="G13"/>
    <mergeCell ref="G14"/>
    <mergeCell ref="G15"/>
    <mergeCell ref="H12"/>
    <mergeCell ref="H13"/>
    <mergeCell ref="H14"/>
    <mergeCell ref="H15"/>
    <mergeCell ref="I12"/>
    <mergeCell ref="I13"/>
    <mergeCell ref="I14"/>
    <mergeCell ref="I15"/>
    <mergeCell ref="J12"/>
    <mergeCell ref="J13"/>
    <mergeCell ref="J14"/>
    <mergeCell ref="J15"/>
    <mergeCell ref="K12"/>
    <mergeCell ref="K13"/>
    <mergeCell ref="K14"/>
    <mergeCell ref="K15"/>
  </mergeCells>
  <pageMargins left="0.5" right="0.5" top="1" bottom="1" header="0.5" footer="0.7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126"/>
  <sheetViews>
    <sheetView zoomScale="75" workbookViewId="0">
      <selection activeCell="K15" sqref="K15"/>
    </sheetView>
  </sheetViews>
  <sheetFormatPr defaultRowHeight="14.4" outlineLevelRow="1"/>
  <cols>
    <col min="1" max="1" width="85.6640625" customWidth="1"/>
    <col min="2" max="11" width="15.6640625" customWidth="1"/>
  </cols>
  <sheetData>
    <row r="1" spans="1:11" ht="15" customHeight="1">
      <c r="A1" s="1" t="s">
        <v>166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" customHeight="1">
      <c r="A2" s="3" t="s">
        <v>1</v>
      </c>
      <c r="B2" s="4" t="s">
        <v>2</v>
      </c>
    </row>
    <row r="3" spans="1:11">
      <c r="A3" s="3" t="s">
        <v>3</v>
      </c>
      <c r="B3" s="3" t="s">
        <v>4</v>
      </c>
    </row>
    <row r="4" spans="1:11">
      <c r="A4" s="3" t="s">
        <v>5</v>
      </c>
      <c r="B4" s="3" t="s">
        <v>4</v>
      </c>
    </row>
    <row r="5" spans="1:11">
      <c r="A5" s="3" t="s">
        <v>6</v>
      </c>
      <c r="B5" s="3" t="s">
        <v>7</v>
      </c>
    </row>
    <row r="6" spans="1:11">
      <c r="A6" s="3" t="s">
        <v>8</v>
      </c>
      <c r="B6" s="3" t="s">
        <v>9</v>
      </c>
    </row>
    <row r="7" spans="1:11">
      <c r="A7" s="3" t="s">
        <v>10</v>
      </c>
      <c r="B7" s="3" t="s">
        <v>11</v>
      </c>
    </row>
    <row r="8" spans="1:11">
      <c r="A8" s="3" t="s">
        <v>12</v>
      </c>
      <c r="B8" s="3" t="s">
        <v>13</v>
      </c>
    </row>
    <row r="9" spans="1:11">
      <c r="A9" s="3" t="s">
        <v>14</v>
      </c>
      <c r="B9" s="3" t="s">
        <v>15</v>
      </c>
    </row>
    <row r="10" spans="1:11">
      <c r="A10" s="3" t="s">
        <v>16</v>
      </c>
      <c r="B10" s="5">
        <v>46068.683553483803</v>
      </c>
    </row>
    <row r="11" spans="1:11">
      <c r="A11" s="6" t="s">
        <v>17</v>
      </c>
      <c r="B11" s="244" t="s">
        <v>18</v>
      </c>
      <c r="C11" s="244" t="s">
        <v>19</v>
      </c>
      <c r="D11" s="244" t="s">
        <v>20</v>
      </c>
      <c r="E11" s="244" t="s">
        <v>21</v>
      </c>
      <c r="F11" s="244" t="s">
        <v>22</v>
      </c>
      <c r="G11" s="244" t="s">
        <v>23</v>
      </c>
      <c r="H11" s="244" t="s">
        <v>24</v>
      </c>
      <c r="I11" s="244" t="s">
        <v>25</v>
      </c>
      <c r="J11" s="244" t="s">
        <v>26</v>
      </c>
      <c r="K11" s="244" t="s">
        <v>27</v>
      </c>
    </row>
    <row r="12" spans="1:11" ht="15" customHeight="1" outlineLevel="1">
      <c r="A12" s="7" t="s">
        <v>28</v>
      </c>
      <c r="B12" s="242">
        <v>42369</v>
      </c>
      <c r="C12" s="242">
        <v>42735</v>
      </c>
      <c r="D12" s="242">
        <v>43100</v>
      </c>
      <c r="E12" s="242">
        <v>43465</v>
      </c>
      <c r="F12" s="242">
        <v>43830</v>
      </c>
      <c r="G12" s="242">
        <v>44196</v>
      </c>
      <c r="H12" s="242">
        <v>44561</v>
      </c>
      <c r="I12" s="242">
        <v>44926</v>
      </c>
      <c r="J12" s="242">
        <v>45291</v>
      </c>
      <c r="K12" s="242">
        <v>45657</v>
      </c>
    </row>
    <row r="13" spans="1:11" ht="15" customHeight="1" outlineLevel="1">
      <c r="A13" s="7" t="s">
        <v>29</v>
      </c>
      <c r="B13" s="242">
        <v>42734</v>
      </c>
      <c r="C13" s="242">
        <v>42734</v>
      </c>
      <c r="D13" s="242">
        <v>43464</v>
      </c>
      <c r="E13" s="242">
        <v>43464</v>
      </c>
      <c r="F13" s="242">
        <v>44195</v>
      </c>
      <c r="G13" s="242">
        <v>44195</v>
      </c>
      <c r="H13" s="242">
        <v>44560</v>
      </c>
      <c r="I13" s="242">
        <v>44925</v>
      </c>
      <c r="J13" s="242">
        <v>45290</v>
      </c>
      <c r="K13" s="242">
        <v>45656</v>
      </c>
    </row>
    <row r="14" spans="1:11" ht="15" customHeight="1" outlineLevel="1">
      <c r="A14" s="7" t="s">
        <v>30</v>
      </c>
      <c r="B14" s="243" t="s">
        <v>31</v>
      </c>
      <c r="C14" s="243" t="s">
        <v>31</v>
      </c>
      <c r="D14" s="243" t="s">
        <v>31</v>
      </c>
      <c r="E14" s="243" t="s">
        <v>31</v>
      </c>
      <c r="F14" s="243" t="s">
        <v>31</v>
      </c>
      <c r="G14" s="243" t="s">
        <v>31</v>
      </c>
      <c r="H14" s="243" t="s">
        <v>31</v>
      </c>
      <c r="I14" s="243" t="s">
        <v>31</v>
      </c>
      <c r="J14" s="243" t="s">
        <v>31</v>
      </c>
      <c r="K14" s="243" t="s">
        <v>31</v>
      </c>
    </row>
    <row r="15" spans="1:11" ht="15" customHeight="1" outlineLevel="1">
      <c r="A15" s="7" t="s">
        <v>32</v>
      </c>
      <c r="B15" s="243" t="s">
        <v>167</v>
      </c>
      <c r="C15" s="243" t="s">
        <v>167</v>
      </c>
      <c r="D15" s="243" t="s">
        <v>167</v>
      </c>
      <c r="E15" s="243" t="s">
        <v>167</v>
      </c>
      <c r="F15" s="243" t="s">
        <v>167</v>
      </c>
      <c r="G15" s="243" t="s">
        <v>167</v>
      </c>
      <c r="H15" s="243" t="s">
        <v>167</v>
      </c>
      <c r="I15" s="243" t="s">
        <v>167</v>
      </c>
      <c r="J15" s="243" t="s">
        <v>167</v>
      </c>
      <c r="K15" s="243" t="s">
        <v>167</v>
      </c>
    </row>
    <row r="17" spans="1:11">
      <c r="A17" s="8" t="s">
        <v>168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>
      <c r="A18" s="8" t="s">
        <v>35</v>
      </c>
      <c r="B18" s="9" t="s">
        <v>36</v>
      </c>
      <c r="C18" s="9" t="s">
        <v>37</v>
      </c>
      <c r="D18" s="9" t="s">
        <v>38</v>
      </c>
      <c r="E18" s="9" t="s">
        <v>39</v>
      </c>
      <c r="F18" s="9" t="s">
        <v>40</v>
      </c>
      <c r="G18" s="9" t="s">
        <v>41</v>
      </c>
      <c r="H18" s="9" t="s">
        <v>42</v>
      </c>
      <c r="I18" s="9" t="s">
        <v>43</v>
      </c>
      <c r="J18" s="9" t="s">
        <v>44</v>
      </c>
      <c r="K18" s="9" t="s">
        <v>45</v>
      </c>
    </row>
    <row r="19" spans="1:11" ht="15" customHeight="1">
      <c r="A19" s="10" t="s">
        <v>169</v>
      </c>
      <c r="B19" s="15">
        <v>416.41</v>
      </c>
      <c r="C19" s="15">
        <v>442.89</v>
      </c>
      <c r="D19" s="15">
        <v>476.56</v>
      </c>
      <c r="E19" s="15">
        <v>510.43</v>
      </c>
      <c r="F19" s="15">
        <v>525.72</v>
      </c>
      <c r="G19" s="15">
        <v>561.16</v>
      </c>
      <c r="H19" s="15">
        <v>625.39</v>
      </c>
      <c r="I19" s="15">
        <v>735.45</v>
      </c>
      <c r="J19" s="15">
        <v>772.84</v>
      </c>
      <c r="K19" s="15">
        <v>519.73</v>
      </c>
    </row>
    <row r="20" spans="1:11" ht="15" customHeight="1">
      <c r="A20" s="18" t="s">
        <v>170</v>
      </c>
      <c r="B20" s="19">
        <v>416.41</v>
      </c>
      <c r="C20" s="19">
        <v>442.89</v>
      </c>
      <c r="D20" s="19">
        <v>476.56</v>
      </c>
      <c r="E20" s="19">
        <v>510.43</v>
      </c>
      <c r="F20" s="19">
        <v>525.72</v>
      </c>
      <c r="G20" s="19">
        <v>561.16</v>
      </c>
      <c r="H20" s="19">
        <v>625.39</v>
      </c>
      <c r="I20" s="19">
        <v>735.45</v>
      </c>
      <c r="J20" s="19">
        <v>772.84</v>
      </c>
      <c r="K20" s="19">
        <v>519.73</v>
      </c>
    </row>
    <row r="21" spans="1:11" ht="15" customHeight="1">
      <c r="A21" s="10" t="s">
        <v>171</v>
      </c>
      <c r="B21" s="15">
        <v>260.35000000000002</v>
      </c>
      <c r="C21" s="15">
        <v>274.2</v>
      </c>
      <c r="D21" s="15">
        <v>295.17</v>
      </c>
      <c r="E21" s="15">
        <v>330.61</v>
      </c>
      <c r="F21" s="15">
        <v>329.09</v>
      </c>
      <c r="G21" s="15">
        <v>354.95</v>
      </c>
      <c r="H21" s="15">
        <v>401.46</v>
      </c>
      <c r="I21" s="15">
        <v>463.95</v>
      </c>
      <c r="J21" s="15">
        <v>481.77</v>
      </c>
      <c r="K21" s="15">
        <v>336.33</v>
      </c>
    </row>
    <row r="22" spans="1:11" ht="15" customHeight="1">
      <c r="A22" s="10" t="s">
        <v>172</v>
      </c>
      <c r="B22" s="12"/>
      <c r="C22" s="12"/>
      <c r="D22" s="12"/>
      <c r="E22" s="12"/>
      <c r="F22" s="11">
        <v>5.64</v>
      </c>
      <c r="G22" s="11">
        <v>10.26</v>
      </c>
      <c r="H22" s="11">
        <v>19.45</v>
      </c>
      <c r="I22" s="11">
        <v>24.54</v>
      </c>
      <c r="J22" s="11">
        <v>19.79</v>
      </c>
      <c r="K22" s="11">
        <v>13.29</v>
      </c>
    </row>
    <row r="23" spans="1:11" ht="15" customHeight="1">
      <c r="A23" s="10" t="s">
        <v>173</v>
      </c>
      <c r="B23" s="12"/>
      <c r="C23" s="12"/>
      <c r="D23" s="12"/>
      <c r="E23" s="12"/>
      <c r="F23" s="20">
        <v>-1.1100000000000001</v>
      </c>
      <c r="G23" s="11">
        <v>0.47</v>
      </c>
      <c r="H23" s="20">
        <v>-2.04</v>
      </c>
      <c r="I23" s="12"/>
      <c r="J23" s="12"/>
      <c r="K23" s="12"/>
    </row>
    <row r="24" spans="1:11" ht="15" customHeight="1">
      <c r="A24" s="10" t="s">
        <v>174</v>
      </c>
      <c r="B24" s="12"/>
      <c r="C24" s="12"/>
      <c r="D24" s="12"/>
      <c r="E24" s="12"/>
      <c r="F24" s="12"/>
      <c r="G24" s="12"/>
      <c r="H24" s="12"/>
      <c r="I24" s="11">
        <v>2.48</v>
      </c>
      <c r="J24" s="11">
        <v>4.59</v>
      </c>
      <c r="K24" s="20">
        <v>-2.89</v>
      </c>
    </row>
    <row r="25" spans="1:11" ht="15" customHeight="1">
      <c r="A25" s="10" t="s">
        <v>175</v>
      </c>
      <c r="B25" s="12"/>
      <c r="C25" s="12"/>
      <c r="D25" s="12"/>
      <c r="E25" s="12"/>
      <c r="F25" s="15">
        <v>324.56</v>
      </c>
      <c r="G25" s="15">
        <v>344.22</v>
      </c>
      <c r="H25" s="15">
        <v>384.04</v>
      </c>
      <c r="I25" s="15">
        <v>436.92</v>
      </c>
      <c r="J25" s="15">
        <v>457.38</v>
      </c>
      <c r="K25" s="15">
        <v>325.93</v>
      </c>
    </row>
    <row r="26" spans="1:11" ht="15" customHeight="1">
      <c r="A26" s="10" t="s">
        <v>176</v>
      </c>
      <c r="B26" s="11">
        <v>18.55</v>
      </c>
      <c r="C26" s="11">
        <v>19.96</v>
      </c>
      <c r="D26" s="11">
        <v>20.71</v>
      </c>
      <c r="E26" s="11">
        <v>21.34</v>
      </c>
      <c r="F26" s="11">
        <v>7.29</v>
      </c>
      <c r="G26" s="11">
        <v>7.59</v>
      </c>
      <c r="H26" s="11">
        <v>7.74</v>
      </c>
      <c r="I26" s="11">
        <v>7.03</v>
      </c>
      <c r="J26" s="11">
        <v>7.85</v>
      </c>
      <c r="K26" s="11">
        <v>5.4</v>
      </c>
    </row>
    <row r="27" spans="1:11" ht="15" customHeight="1">
      <c r="A27" s="10" t="s">
        <v>177</v>
      </c>
      <c r="B27" s="11">
        <v>76.06</v>
      </c>
      <c r="C27" s="11">
        <v>79.819999999999993</v>
      </c>
      <c r="D27" s="11">
        <v>87.44</v>
      </c>
      <c r="E27" s="11">
        <v>98.04</v>
      </c>
      <c r="F27" s="15">
        <v>101.89</v>
      </c>
      <c r="G27" s="15">
        <v>102.19</v>
      </c>
      <c r="H27" s="15">
        <v>123.02</v>
      </c>
      <c r="I27" s="15">
        <v>152.88999999999999</v>
      </c>
      <c r="J27" s="15">
        <v>176.48</v>
      </c>
      <c r="K27" s="15">
        <v>100.46</v>
      </c>
    </row>
    <row r="28" spans="1:11" ht="15" customHeight="1">
      <c r="A28" s="10" t="s">
        <v>178</v>
      </c>
      <c r="B28" s="12"/>
      <c r="C28" s="12"/>
      <c r="D28" s="12"/>
      <c r="E28" s="12"/>
      <c r="F28" s="11">
        <v>0.99</v>
      </c>
      <c r="G28" s="11">
        <v>0.17</v>
      </c>
      <c r="H28" s="11">
        <v>1.1000000000000001</v>
      </c>
      <c r="I28" s="20">
        <v>-3.85</v>
      </c>
      <c r="J28" s="11">
        <v>1.62</v>
      </c>
      <c r="K28" s="11">
        <v>0.76</v>
      </c>
    </row>
    <row r="29" spans="1:11" ht="15" customHeight="1">
      <c r="A29" s="10" t="s">
        <v>179</v>
      </c>
      <c r="B29" s="12"/>
      <c r="C29" s="12"/>
      <c r="D29" s="12"/>
      <c r="E29" s="12"/>
      <c r="F29" s="11">
        <v>0.36</v>
      </c>
      <c r="G29" s="11">
        <v>0.46</v>
      </c>
      <c r="H29" s="20">
        <v>-0.25</v>
      </c>
      <c r="I29" s="11">
        <v>0.83</v>
      </c>
      <c r="J29" s="11">
        <v>0.45</v>
      </c>
      <c r="K29" s="20">
        <v>-2.5</v>
      </c>
    </row>
    <row r="30" spans="1:11" ht="15" customHeight="1">
      <c r="A30" s="10" t="s">
        <v>180</v>
      </c>
      <c r="B30" s="12"/>
      <c r="C30" s="12"/>
      <c r="D30" s="12"/>
      <c r="E30" s="12"/>
      <c r="F30" s="12">
        <v>0</v>
      </c>
      <c r="G30" s="11">
        <v>0.75</v>
      </c>
      <c r="H30" s="12">
        <v>0</v>
      </c>
      <c r="I30" s="12"/>
      <c r="J30" s="12"/>
      <c r="K30" s="12"/>
    </row>
    <row r="31" spans="1:11" ht="15" customHeight="1">
      <c r="A31" s="10" t="s">
        <v>181</v>
      </c>
      <c r="B31" s="12"/>
      <c r="C31" s="12"/>
      <c r="D31" s="12"/>
      <c r="E31" s="12"/>
      <c r="F31" s="11">
        <v>1.75</v>
      </c>
      <c r="G31" s="11">
        <v>1.1399999999999999</v>
      </c>
      <c r="H31" s="12">
        <v>0</v>
      </c>
      <c r="I31" s="12"/>
      <c r="J31" s="12"/>
      <c r="K31" s="12"/>
    </row>
    <row r="32" spans="1:11" ht="15" customHeight="1">
      <c r="A32" s="10" t="s">
        <v>182</v>
      </c>
      <c r="B32" s="12"/>
      <c r="C32" s="12"/>
      <c r="D32" s="12"/>
      <c r="E32" s="12"/>
      <c r="F32" s="12"/>
      <c r="G32" s="12"/>
      <c r="H32" s="12"/>
      <c r="I32" s="11">
        <v>11.74</v>
      </c>
      <c r="J32" s="11">
        <v>13.74</v>
      </c>
      <c r="K32" s="11">
        <v>5.86</v>
      </c>
    </row>
    <row r="33" spans="1:11" ht="15" customHeight="1">
      <c r="A33" s="10" t="s">
        <v>183</v>
      </c>
      <c r="B33" s="12"/>
      <c r="C33" s="12"/>
      <c r="D33" s="12"/>
      <c r="E33" s="12"/>
      <c r="F33" s="11">
        <v>98.79</v>
      </c>
      <c r="G33" s="11">
        <v>99.68</v>
      </c>
      <c r="H33" s="15">
        <v>122.17</v>
      </c>
      <c r="I33" s="15">
        <v>144.18</v>
      </c>
      <c r="J33" s="15">
        <v>160.66999999999999</v>
      </c>
      <c r="K33" s="11">
        <v>96.34</v>
      </c>
    </row>
    <row r="34" spans="1:11" ht="15" customHeight="1">
      <c r="A34" s="10" t="s">
        <v>184</v>
      </c>
      <c r="B34" s="11">
        <v>33.04</v>
      </c>
      <c r="C34" s="11">
        <v>26.2</v>
      </c>
      <c r="D34" s="11">
        <v>29.18</v>
      </c>
      <c r="E34" s="11">
        <v>41.03</v>
      </c>
      <c r="F34" s="11">
        <v>29.53</v>
      </c>
      <c r="G34" s="11">
        <v>24.78</v>
      </c>
      <c r="H34" s="11">
        <v>29.02</v>
      </c>
      <c r="I34" s="11">
        <v>41</v>
      </c>
      <c r="J34" s="11">
        <v>40.72</v>
      </c>
      <c r="K34" s="11">
        <v>32.04</v>
      </c>
    </row>
    <row r="35" spans="1:11" ht="15" customHeight="1">
      <c r="A35" s="10" t="s">
        <v>185</v>
      </c>
      <c r="B35" s="12"/>
      <c r="C35" s="12"/>
      <c r="D35" s="12"/>
      <c r="E35" s="12"/>
      <c r="F35" s="11">
        <v>12.32</v>
      </c>
      <c r="G35" s="11">
        <v>11.21</v>
      </c>
      <c r="H35" s="11">
        <v>12.12</v>
      </c>
      <c r="I35" s="11">
        <v>11.97</v>
      </c>
      <c r="J35" s="11">
        <v>11.12</v>
      </c>
      <c r="K35" s="11">
        <v>8.27</v>
      </c>
    </row>
    <row r="36" spans="1:11" ht="15" customHeight="1">
      <c r="A36" s="10" t="s">
        <v>186</v>
      </c>
      <c r="B36" s="11">
        <v>7.02</v>
      </c>
      <c r="C36" s="11">
        <v>7.23</v>
      </c>
      <c r="D36" s="11">
        <v>7.26</v>
      </c>
      <c r="E36" s="11">
        <v>8.09</v>
      </c>
      <c r="F36" s="11">
        <v>5.85</v>
      </c>
      <c r="G36" s="11">
        <v>5.62</v>
      </c>
      <c r="H36" s="11">
        <v>5.45</v>
      </c>
      <c r="I36" s="11">
        <v>6.56</v>
      </c>
      <c r="J36" s="11">
        <v>6.1</v>
      </c>
      <c r="K36" s="11">
        <v>3.71</v>
      </c>
    </row>
    <row r="37" spans="1:11" ht="15" customHeight="1">
      <c r="A37" s="10" t="s">
        <v>187</v>
      </c>
      <c r="B37" s="20">
        <v>-0.43</v>
      </c>
      <c r="C37" s="11">
        <v>0.62</v>
      </c>
      <c r="D37" s="11">
        <v>3.32</v>
      </c>
      <c r="E37" s="11">
        <v>2.39</v>
      </c>
      <c r="F37" s="11">
        <v>0.19</v>
      </c>
      <c r="G37" s="20">
        <v>-0.89</v>
      </c>
      <c r="H37" s="11">
        <v>10.14</v>
      </c>
      <c r="I37" s="11">
        <v>4.93</v>
      </c>
      <c r="J37" s="11">
        <v>3.83</v>
      </c>
      <c r="K37" s="11">
        <v>8.91</v>
      </c>
    </row>
    <row r="38" spans="1:11" ht="15" customHeight="1">
      <c r="A38" s="10" t="s">
        <v>188</v>
      </c>
      <c r="B38" s="11">
        <v>1.27</v>
      </c>
      <c r="C38" s="11">
        <v>2.62</v>
      </c>
      <c r="D38" s="11">
        <v>2.42</v>
      </c>
      <c r="E38" s="12">
        <v>0</v>
      </c>
      <c r="F38" s="12">
        <v>0</v>
      </c>
      <c r="G38" s="20">
        <v>-0.46</v>
      </c>
      <c r="H38" s="20">
        <v>-1.19</v>
      </c>
      <c r="I38" s="20">
        <v>-3.01</v>
      </c>
      <c r="J38" s="20">
        <v>-3.15</v>
      </c>
      <c r="K38" s="20">
        <v>-2.95</v>
      </c>
    </row>
    <row r="39" spans="1:11" ht="15" customHeight="1">
      <c r="A39" s="10" t="s">
        <v>189</v>
      </c>
      <c r="B39" s="11">
        <v>2.69</v>
      </c>
      <c r="C39" s="11">
        <v>4.0599999999999996</v>
      </c>
      <c r="D39" s="11">
        <v>4.74</v>
      </c>
      <c r="E39" s="11">
        <v>6.37</v>
      </c>
      <c r="F39" s="20">
        <v>-0.3</v>
      </c>
      <c r="G39" s="11">
        <v>11.98</v>
      </c>
      <c r="H39" s="11">
        <v>0.02</v>
      </c>
      <c r="I39" s="11">
        <v>38.9</v>
      </c>
      <c r="J39" s="11">
        <v>0.39</v>
      </c>
      <c r="K39" s="11">
        <v>12.05</v>
      </c>
    </row>
    <row r="40" spans="1:11" ht="15" customHeight="1">
      <c r="A40" s="10" t="s">
        <v>190</v>
      </c>
      <c r="B40" s="12"/>
      <c r="C40" s="12"/>
      <c r="D40" s="12"/>
      <c r="E40" s="12"/>
      <c r="F40" s="12"/>
      <c r="G40" s="12"/>
      <c r="H40" s="12"/>
      <c r="I40" s="11">
        <v>6.91</v>
      </c>
      <c r="J40" s="20">
        <v>-0.56000000000000005</v>
      </c>
      <c r="K40" s="12"/>
    </row>
    <row r="41" spans="1:11" ht="15" customHeight="1">
      <c r="A41" s="10" t="s">
        <v>191</v>
      </c>
      <c r="B41" s="12"/>
      <c r="C41" s="12"/>
      <c r="D41" s="12"/>
      <c r="E41" s="12"/>
      <c r="F41" s="12"/>
      <c r="G41" s="12"/>
      <c r="H41" s="12"/>
      <c r="I41" s="11">
        <v>31.99</v>
      </c>
      <c r="J41" s="11">
        <v>0.95</v>
      </c>
      <c r="K41" s="12"/>
    </row>
    <row r="42" spans="1:11" ht="15" customHeight="1">
      <c r="A42" s="10" t="s">
        <v>192</v>
      </c>
      <c r="B42" s="20">
        <v>-3.48</v>
      </c>
      <c r="C42" s="20">
        <v>-9.93</v>
      </c>
      <c r="D42" s="22">
        <v>-115.18</v>
      </c>
      <c r="E42" s="20">
        <v>-0.04</v>
      </c>
      <c r="F42" s="20">
        <v>-0.28000000000000003</v>
      </c>
      <c r="G42" s="20">
        <v>-0.02</v>
      </c>
      <c r="H42" s="20">
        <v>-2.93</v>
      </c>
      <c r="I42" s="11">
        <v>0.16</v>
      </c>
      <c r="J42" s="11">
        <v>0.3</v>
      </c>
      <c r="K42" s="20">
        <v>-0.45</v>
      </c>
    </row>
    <row r="43" spans="1:11" ht="15" customHeight="1">
      <c r="A43" s="10" t="s">
        <v>193</v>
      </c>
      <c r="B43" s="12">
        <v>0</v>
      </c>
      <c r="C43" s="11">
        <v>12.5</v>
      </c>
      <c r="D43" s="12">
        <v>0</v>
      </c>
      <c r="E43" s="11">
        <v>13.7</v>
      </c>
      <c r="F43" s="12"/>
      <c r="G43" s="12"/>
      <c r="H43" s="12"/>
      <c r="I43" s="12"/>
      <c r="J43" s="12"/>
      <c r="K43" s="12"/>
    </row>
    <row r="44" spans="1:11" ht="15" customHeight="1">
      <c r="A44" s="10" t="s">
        <v>194</v>
      </c>
      <c r="B44" s="12"/>
      <c r="C44" s="12"/>
      <c r="D44" s="12"/>
      <c r="E44" s="12"/>
      <c r="F44" s="12"/>
      <c r="G44" s="12"/>
      <c r="H44" s="12"/>
      <c r="I44" s="12"/>
      <c r="J44" s="12"/>
      <c r="K44" s="11">
        <v>7</v>
      </c>
    </row>
    <row r="45" spans="1:11" ht="15" customHeight="1">
      <c r="A45" s="18" t="s">
        <v>195</v>
      </c>
      <c r="B45" s="19">
        <v>395.06</v>
      </c>
      <c r="C45" s="19">
        <v>417.26</v>
      </c>
      <c r="D45" s="19">
        <v>335.07</v>
      </c>
      <c r="E45" s="19">
        <v>521.53</v>
      </c>
      <c r="F45" s="19">
        <v>485.59</v>
      </c>
      <c r="G45" s="19">
        <v>516.97</v>
      </c>
      <c r="H45" s="19">
        <v>584.84</v>
      </c>
      <c r="I45" s="19">
        <v>724.37</v>
      </c>
      <c r="J45" s="19">
        <v>725.41</v>
      </c>
      <c r="K45" s="19">
        <v>510.78</v>
      </c>
    </row>
    <row r="46" spans="1:11" ht="15" customHeight="1">
      <c r="A46" s="18" t="s">
        <v>196</v>
      </c>
      <c r="B46" s="23">
        <v>21.35</v>
      </c>
      <c r="C46" s="23">
        <v>25.63</v>
      </c>
      <c r="D46" s="19">
        <v>141.49</v>
      </c>
      <c r="E46" s="25">
        <v>-11.1</v>
      </c>
      <c r="F46" s="23">
        <v>40.130000000000003</v>
      </c>
      <c r="G46" s="23">
        <v>44.19</v>
      </c>
      <c r="H46" s="23">
        <v>40.549999999999997</v>
      </c>
      <c r="I46" s="23">
        <v>11.08</v>
      </c>
      <c r="J46" s="23">
        <v>47.43</v>
      </c>
      <c r="K46" s="23">
        <v>8.9499999999999993</v>
      </c>
    </row>
    <row r="47" spans="1:11" ht="15" customHeight="1">
      <c r="A47" s="10" t="s">
        <v>197</v>
      </c>
      <c r="B47" s="12"/>
      <c r="C47" s="12"/>
      <c r="D47" s="12"/>
      <c r="E47" s="12"/>
      <c r="F47" s="20">
        <v>-2.71</v>
      </c>
      <c r="G47" s="20">
        <v>-2.4900000000000002</v>
      </c>
      <c r="H47" s="12"/>
      <c r="I47" s="12"/>
      <c r="J47" s="12"/>
      <c r="K47" s="12"/>
    </row>
    <row r="48" spans="1:11" ht="15" customHeight="1">
      <c r="A48" s="10" t="s">
        <v>198</v>
      </c>
      <c r="B48" s="12"/>
      <c r="C48" s="12"/>
      <c r="D48" s="12"/>
      <c r="E48" s="12"/>
      <c r="F48" s="12"/>
      <c r="G48" s="12"/>
      <c r="H48" s="20">
        <v>-2.2200000000000002</v>
      </c>
      <c r="I48" s="20">
        <v>-1.91</v>
      </c>
      <c r="J48" s="20">
        <v>-1.22</v>
      </c>
      <c r="K48" s="20">
        <v>-0.94</v>
      </c>
    </row>
    <row r="49" spans="1:11" ht="15" customHeight="1">
      <c r="A49" s="10" t="s">
        <v>199</v>
      </c>
      <c r="B49" s="20">
        <v>-11.25</v>
      </c>
      <c r="C49" s="20">
        <v>-4.55</v>
      </c>
      <c r="D49" s="20">
        <v>-3.63</v>
      </c>
      <c r="E49" s="20">
        <v>-6.7</v>
      </c>
      <c r="F49" s="20">
        <v>-6.57</v>
      </c>
      <c r="G49" s="20">
        <v>-4.1399999999999997</v>
      </c>
      <c r="H49" s="20">
        <v>-4.13</v>
      </c>
      <c r="I49" s="20">
        <v>-5.28</v>
      </c>
      <c r="J49" s="20">
        <v>-23.88</v>
      </c>
      <c r="K49" s="20">
        <v>-18.46</v>
      </c>
    </row>
    <row r="50" spans="1:11" ht="15" customHeight="1">
      <c r="A50" s="10" t="s">
        <v>200</v>
      </c>
      <c r="B50" s="11">
        <v>0.06</v>
      </c>
      <c r="C50" s="12">
        <v>0</v>
      </c>
      <c r="D50" s="12"/>
      <c r="E50" s="12"/>
      <c r="F50" s="12"/>
      <c r="G50" s="12"/>
      <c r="H50" s="20">
        <v>-0.34</v>
      </c>
      <c r="I50" s="20">
        <v>-0.1</v>
      </c>
      <c r="J50" s="20">
        <v>-0.22</v>
      </c>
      <c r="K50" s="20">
        <v>-0.23</v>
      </c>
    </row>
    <row r="51" spans="1:11" ht="15" customHeight="1">
      <c r="A51" s="10" t="s">
        <v>201</v>
      </c>
      <c r="B51" s="20">
        <v>-5.51</v>
      </c>
      <c r="C51" s="20">
        <v>-4.0599999999999996</v>
      </c>
      <c r="D51" s="20">
        <v>-4.6500000000000004</v>
      </c>
      <c r="E51" s="20">
        <v>-6.01</v>
      </c>
      <c r="F51" s="20">
        <v>-5.63</v>
      </c>
      <c r="G51" s="20">
        <v>-3.94</v>
      </c>
      <c r="H51" s="20">
        <v>-3.92</v>
      </c>
      <c r="I51" s="20">
        <v>-12.54</v>
      </c>
      <c r="J51" s="20">
        <v>-20.79</v>
      </c>
      <c r="K51" s="20">
        <v>-18.440000000000001</v>
      </c>
    </row>
    <row r="52" spans="1:11" ht="15" customHeight="1">
      <c r="A52" s="10" t="s">
        <v>198</v>
      </c>
      <c r="B52" s="12"/>
      <c r="C52" s="12"/>
      <c r="D52" s="12"/>
      <c r="E52" s="12"/>
      <c r="F52" s="20">
        <v>-2.71</v>
      </c>
      <c r="G52" s="20">
        <v>-2.4900000000000002</v>
      </c>
      <c r="H52" s="12"/>
      <c r="I52" s="12"/>
      <c r="J52" s="12"/>
      <c r="K52" s="12"/>
    </row>
    <row r="53" spans="1:11" ht="15" customHeight="1">
      <c r="A53" s="10" t="s">
        <v>202</v>
      </c>
      <c r="B53" s="20">
        <v>-0.25</v>
      </c>
      <c r="C53" s="20">
        <v>-0.2</v>
      </c>
      <c r="D53" s="20">
        <v>-0.17</v>
      </c>
      <c r="E53" s="20">
        <v>-0.65</v>
      </c>
      <c r="F53" s="20">
        <v>-0.47</v>
      </c>
      <c r="G53" s="20">
        <v>-0.1</v>
      </c>
      <c r="H53" s="20">
        <v>-0.11</v>
      </c>
      <c r="I53" s="12"/>
      <c r="J53" s="12"/>
      <c r="K53" s="12"/>
    </row>
    <row r="54" spans="1:11" ht="15" customHeight="1">
      <c r="A54" s="10" t="s">
        <v>203</v>
      </c>
      <c r="B54" s="20">
        <v>-0.02</v>
      </c>
      <c r="C54" s="20">
        <v>-0.01</v>
      </c>
      <c r="D54" s="20">
        <v>-0.01</v>
      </c>
      <c r="E54" s="20">
        <v>-0.04</v>
      </c>
      <c r="F54" s="20">
        <v>-0.12</v>
      </c>
      <c r="G54" s="20">
        <v>-0.03</v>
      </c>
      <c r="H54" s="26">
        <v>0</v>
      </c>
      <c r="I54" s="12"/>
      <c r="J54" s="12"/>
      <c r="K54" s="12"/>
    </row>
    <row r="55" spans="1:11" ht="15" customHeight="1">
      <c r="A55" s="10" t="s">
        <v>204</v>
      </c>
      <c r="B55" s="12"/>
      <c r="C55" s="12"/>
      <c r="D55" s="11">
        <v>1.36</v>
      </c>
      <c r="E55" s="20">
        <v>-0.22</v>
      </c>
      <c r="F55" s="20">
        <v>-0.5</v>
      </c>
      <c r="G55" s="20">
        <v>-0.14000000000000001</v>
      </c>
      <c r="H55" s="12">
        <v>0</v>
      </c>
      <c r="I55" s="11">
        <v>6.86</v>
      </c>
      <c r="J55" s="20">
        <v>-3.06</v>
      </c>
      <c r="K55" s="20">
        <v>-0.2</v>
      </c>
    </row>
    <row r="56" spans="1:11" ht="15" customHeight="1">
      <c r="A56" s="10" t="s">
        <v>205</v>
      </c>
      <c r="B56" s="20">
        <v>-0.1</v>
      </c>
      <c r="C56" s="20">
        <v>-0.03</v>
      </c>
      <c r="D56" s="12"/>
      <c r="E56" s="12"/>
      <c r="F56" s="12"/>
      <c r="G56" s="12"/>
      <c r="H56" s="12"/>
      <c r="I56" s="12"/>
      <c r="J56" s="12"/>
      <c r="K56" s="12"/>
    </row>
    <row r="57" spans="1:11" ht="15" customHeight="1">
      <c r="A57" s="10" t="s">
        <v>204</v>
      </c>
      <c r="B57" s="20">
        <v>-1.24</v>
      </c>
      <c r="C57" s="11">
        <v>0.74</v>
      </c>
      <c r="D57" s="12"/>
      <c r="E57" s="12"/>
      <c r="F57" s="12"/>
      <c r="G57" s="12"/>
      <c r="H57" s="12"/>
      <c r="I57" s="12"/>
      <c r="J57" s="12"/>
      <c r="K57" s="12"/>
    </row>
    <row r="58" spans="1:11" ht="15" customHeight="1">
      <c r="A58" s="10" t="s">
        <v>206</v>
      </c>
      <c r="B58" s="20">
        <v>-4.0999999999999996</v>
      </c>
      <c r="C58" s="20">
        <v>-0.67</v>
      </c>
      <c r="D58" s="20">
        <v>-0.18</v>
      </c>
      <c r="E58" s="12">
        <v>0</v>
      </c>
      <c r="F58" s="12"/>
      <c r="G58" s="12"/>
      <c r="H58" s="12"/>
      <c r="I58" s="12"/>
      <c r="J58" s="12"/>
      <c r="K58" s="12"/>
    </row>
    <row r="59" spans="1:11" ht="15" customHeight="1">
      <c r="A59" s="10" t="s">
        <v>207</v>
      </c>
      <c r="B59" s="20">
        <v>-0.13</v>
      </c>
      <c r="C59" s="20">
        <v>-0.13</v>
      </c>
      <c r="D59" s="20">
        <v>-0.08</v>
      </c>
      <c r="E59" s="20">
        <v>-0.04</v>
      </c>
      <c r="F59" s="12"/>
      <c r="G59" s="12"/>
      <c r="H59" s="12"/>
      <c r="I59" s="12"/>
      <c r="J59" s="12"/>
      <c r="K59" s="12"/>
    </row>
    <row r="60" spans="1:11" ht="15" customHeight="1">
      <c r="A60" s="10" t="s">
        <v>208</v>
      </c>
      <c r="B60" s="20">
        <v>-0.01</v>
      </c>
      <c r="C60" s="20">
        <v>-0.21</v>
      </c>
      <c r="D60" s="20">
        <v>-0.03</v>
      </c>
      <c r="E60" s="12">
        <v>0</v>
      </c>
      <c r="F60" s="12"/>
      <c r="G60" s="12"/>
      <c r="H60" s="12"/>
      <c r="I60" s="12"/>
      <c r="J60" s="12"/>
      <c r="K60" s="12"/>
    </row>
    <row r="61" spans="1:11" ht="15" customHeight="1">
      <c r="A61" s="10" t="s">
        <v>209</v>
      </c>
      <c r="B61" s="11">
        <v>0.05</v>
      </c>
      <c r="C61" s="11">
        <v>0.02</v>
      </c>
      <c r="D61" s="11">
        <v>0.13</v>
      </c>
      <c r="E61" s="11">
        <v>0.25</v>
      </c>
      <c r="F61" s="11">
        <v>0.15</v>
      </c>
      <c r="G61" s="11">
        <v>0.08</v>
      </c>
      <c r="H61" s="11">
        <v>0.25</v>
      </c>
      <c r="I61" s="11">
        <v>0.51</v>
      </c>
      <c r="J61" s="11">
        <v>0.19</v>
      </c>
      <c r="K61" s="11">
        <v>0.42</v>
      </c>
    </row>
    <row r="62" spans="1:11" ht="15" customHeight="1">
      <c r="A62" s="10" t="s">
        <v>210</v>
      </c>
      <c r="B62" s="12"/>
      <c r="C62" s="12"/>
      <c r="D62" s="12"/>
      <c r="E62" s="12"/>
      <c r="F62" s="11">
        <v>2.71</v>
      </c>
      <c r="G62" s="11">
        <v>2.4900000000000002</v>
      </c>
      <c r="H62" s="12"/>
      <c r="I62" s="12"/>
      <c r="J62" s="12"/>
      <c r="K62" s="12"/>
    </row>
    <row r="63" spans="1:11" ht="15" customHeight="1">
      <c r="A63" s="18" t="s">
        <v>211</v>
      </c>
      <c r="B63" s="23">
        <v>10.1</v>
      </c>
      <c r="C63" s="23">
        <v>21.08</v>
      </c>
      <c r="D63" s="19">
        <v>137.86000000000001</v>
      </c>
      <c r="E63" s="25">
        <v>-17.8</v>
      </c>
      <c r="F63" s="23">
        <v>30.85</v>
      </c>
      <c r="G63" s="23">
        <v>37.56</v>
      </c>
      <c r="H63" s="23">
        <v>34.200000000000003</v>
      </c>
      <c r="I63" s="23">
        <v>3.88</v>
      </c>
      <c r="J63" s="23">
        <v>22.33</v>
      </c>
      <c r="K63" s="25">
        <v>-10.44</v>
      </c>
    </row>
    <row r="64" spans="1:11" ht="15" customHeight="1">
      <c r="A64" s="10" t="s">
        <v>212</v>
      </c>
      <c r="B64" s="11">
        <v>0.85</v>
      </c>
      <c r="C64" s="11">
        <v>6.81</v>
      </c>
      <c r="D64" s="11">
        <v>28.44</v>
      </c>
      <c r="E64" s="11">
        <v>0.64</v>
      </c>
      <c r="F64" s="11">
        <v>6.96</v>
      </c>
      <c r="G64" s="11">
        <v>10.55</v>
      </c>
      <c r="H64" s="11">
        <v>8.6300000000000008</v>
      </c>
      <c r="I64" s="11">
        <v>4.7699999999999996</v>
      </c>
      <c r="J64" s="11">
        <v>12.1</v>
      </c>
      <c r="K64" s="20">
        <v>-9.65</v>
      </c>
    </row>
    <row r="65" spans="1:11" ht="15" customHeight="1">
      <c r="A65" s="10" t="s">
        <v>213</v>
      </c>
      <c r="B65" s="11">
        <v>4.7300000000000004</v>
      </c>
      <c r="C65" s="11">
        <v>9.9700000000000006</v>
      </c>
      <c r="D65" s="11">
        <v>14.36</v>
      </c>
      <c r="E65" s="11">
        <v>12.71</v>
      </c>
      <c r="F65" s="11">
        <v>14.31</v>
      </c>
      <c r="G65" s="11">
        <v>12.71</v>
      </c>
      <c r="H65" s="11">
        <v>19.05</v>
      </c>
      <c r="I65" s="11">
        <v>10.8</v>
      </c>
      <c r="J65" s="11">
        <v>16.54</v>
      </c>
      <c r="K65" s="11">
        <v>17.5</v>
      </c>
    </row>
    <row r="66" spans="1:11" ht="15" customHeight="1">
      <c r="A66" s="10" t="s">
        <v>214</v>
      </c>
      <c r="B66" s="11">
        <v>4.5999999999999996</v>
      </c>
      <c r="C66" s="11">
        <v>10.01</v>
      </c>
      <c r="D66" s="11">
        <v>13.88</v>
      </c>
      <c r="E66" s="11">
        <v>12.64</v>
      </c>
      <c r="F66" s="11">
        <v>14.57</v>
      </c>
      <c r="G66" s="11">
        <v>12.37</v>
      </c>
      <c r="H66" s="11">
        <v>18.57</v>
      </c>
      <c r="I66" s="11">
        <v>11.49</v>
      </c>
      <c r="J66" s="11">
        <v>17.54</v>
      </c>
      <c r="K66" s="11">
        <v>18.600000000000001</v>
      </c>
    </row>
    <row r="67" spans="1:11" ht="15" customHeight="1">
      <c r="A67" s="10" t="s">
        <v>215</v>
      </c>
      <c r="B67" s="11">
        <v>0.13</v>
      </c>
      <c r="C67" s="20">
        <v>-0.04</v>
      </c>
      <c r="D67" s="11">
        <v>0.48</v>
      </c>
      <c r="E67" s="11">
        <v>7.0000000000000007E-2</v>
      </c>
      <c r="F67" s="20">
        <v>-0.26</v>
      </c>
      <c r="G67" s="11">
        <v>0.34</v>
      </c>
      <c r="H67" s="11">
        <v>0.48</v>
      </c>
      <c r="I67" s="20">
        <v>-0.7</v>
      </c>
      <c r="J67" s="20">
        <v>-1</v>
      </c>
      <c r="K67" s="20">
        <v>-1.1100000000000001</v>
      </c>
    </row>
    <row r="68" spans="1:11" ht="15" customHeight="1">
      <c r="A68" s="10" t="s">
        <v>216</v>
      </c>
      <c r="B68" s="20">
        <v>-3.88</v>
      </c>
      <c r="C68" s="20">
        <v>-3.16</v>
      </c>
      <c r="D68" s="11">
        <v>14.09</v>
      </c>
      <c r="E68" s="20">
        <v>-12.07</v>
      </c>
      <c r="F68" s="20">
        <v>-7.35</v>
      </c>
      <c r="G68" s="20">
        <v>-2.16</v>
      </c>
      <c r="H68" s="20">
        <v>-10.42</v>
      </c>
      <c r="I68" s="20">
        <v>-6.03</v>
      </c>
      <c r="J68" s="20">
        <v>-4.4400000000000004</v>
      </c>
      <c r="K68" s="20">
        <v>-27.15</v>
      </c>
    </row>
    <row r="69" spans="1:11" ht="15" customHeight="1">
      <c r="A69" s="10" t="s">
        <v>217</v>
      </c>
      <c r="B69" s="20">
        <v>-4.3600000000000003</v>
      </c>
      <c r="C69" s="20">
        <v>-2.52</v>
      </c>
      <c r="D69" s="11">
        <v>8.76</v>
      </c>
      <c r="E69" s="20">
        <v>-12.17</v>
      </c>
      <c r="F69" s="20">
        <v>-7.33</v>
      </c>
      <c r="G69" s="20">
        <v>-2.0099999999999998</v>
      </c>
      <c r="H69" s="20">
        <v>-10.54</v>
      </c>
      <c r="I69" s="20">
        <v>-6.43</v>
      </c>
      <c r="J69" s="20">
        <v>-5.31</v>
      </c>
      <c r="K69" s="20">
        <v>-28.15</v>
      </c>
    </row>
    <row r="70" spans="1:11" ht="15" customHeight="1">
      <c r="A70" s="10" t="s">
        <v>215</v>
      </c>
      <c r="B70" s="11">
        <v>0.48</v>
      </c>
      <c r="C70" s="20">
        <v>-0.19</v>
      </c>
      <c r="D70" s="20">
        <v>-0.43</v>
      </c>
      <c r="E70" s="11">
        <v>0.1</v>
      </c>
      <c r="F70" s="12">
        <v>0</v>
      </c>
      <c r="G70" s="20">
        <v>-0.41</v>
      </c>
      <c r="H70" s="20">
        <v>-0.56999999999999995</v>
      </c>
      <c r="I70" s="11">
        <v>0.33</v>
      </c>
      <c r="J70" s="11">
        <v>0.88</v>
      </c>
      <c r="K70" s="11">
        <v>1.01</v>
      </c>
    </row>
    <row r="71" spans="1:11" ht="15" customHeight="1">
      <c r="A71" s="10" t="s">
        <v>218</v>
      </c>
      <c r="B71" s="26">
        <v>0</v>
      </c>
      <c r="C71" s="20">
        <v>-0.45</v>
      </c>
      <c r="D71" s="11">
        <v>5.75</v>
      </c>
      <c r="E71" s="11">
        <v>0.01</v>
      </c>
      <c r="F71" s="12">
        <v>0</v>
      </c>
      <c r="G71" s="11">
        <v>0.26</v>
      </c>
      <c r="H71" s="11">
        <v>0.69</v>
      </c>
      <c r="I71" s="11">
        <v>7.0000000000000007E-2</v>
      </c>
      <c r="J71" s="12">
        <v>0</v>
      </c>
      <c r="K71" s="12"/>
    </row>
    <row r="72" spans="1:11" ht="15" customHeight="1">
      <c r="A72" s="10" t="s">
        <v>219</v>
      </c>
      <c r="B72" s="12"/>
      <c r="C72" s="12"/>
      <c r="D72" s="12"/>
      <c r="E72" s="12"/>
      <c r="F72" s="20">
        <v>-0.02</v>
      </c>
      <c r="G72" s="12"/>
      <c r="H72" s="12"/>
      <c r="I72" s="12"/>
      <c r="J72" s="12"/>
      <c r="K72" s="12"/>
    </row>
    <row r="73" spans="1:11" ht="15" customHeight="1">
      <c r="A73" s="18" t="s">
        <v>220</v>
      </c>
      <c r="B73" s="23">
        <v>0.85</v>
      </c>
      <c r="C73" s="23">
        <v>6.81</v>
      </c>
      <c r="D73" s="23">
        <v>28.44</v>
      </c>
      <c r="E73" s="23">
        <v>0.64</v>
      </c>
      <c r="F73" s="23">
        <v>6.96</v>
      </c>
      <c r="G73" s="23">
        <v>10.55</v>
      </c>
      <c r="H73" s="23">
        <v>8.6300000000000008</v>
      </c>
      <c r="I73" s="23">
        <v>4.7699999999999996</v>
      </c>
      <c r="J73" s="23">
        <v>12.1</v>
      </c>
      <c r="K73" s="25">
        <v>-9.65</v>
      </c>
    </row>
    <row r="74" spans="1:11" ht="15" customHeight="1">
      <c r="A74" s="18" t="s">
        <v>221</v>
      </c>
      <c r="B74" s="23">
        <v>9.25</v>
      </c>
      <c r="C74" s="23">
        <v>14.27</v>
      </c>
      <c r="D74" s="19">
        <v>109.42</v>
      </c>
      <c r="E74" s="25">
        <v>-18.440000000000001</v>
      </c>
      <c r="F74" s="23">
        <v>23.89</v>
      </c>
      <c r="G74" s="23">
        <v>27.01</v>
      </c>
      <c r="H74" s="23">
        <v>25.57</v>
      </c>
      <c r="I74" s="25">
        <v>-0.89</v>
      </c>
      <c r="J74" s="23">
        <v>10.23</v>
      </c>
      <c r="K74" s="25">
        <v>-0.79</v>
      </c>
    </row>
    <row r="75" spans="1:11" ht="15" customHeight="1">
      <c r="A75" s="18" t="s">
        <v>221</v>
      </c>
      <c r="B75" s="23">
        <v>9.25</v>
      </c>
      <c r="C75" s="23">
        <v>14.27</v>
      </c>
      <c r="D75" s="19">
        <v>109.42</v>
      </c>
      <c r="E75" s="25">
        <v>-18.440000000000001</v>
      </c>
      <c r="F75" s="23">
        <v>23.89</v>
      </c>
      <c r="G75" s="23">
        <v>27.01</v>
      </c>
      <c r="H75" s="23">
        <v>25.57</v>
      </c>
      <c r="I75" s="25">
        <v>-0.89</v>
      </c>
      <c r="J75" s="23">
        <v>10.23</v>
      </c>
      <c r="K75" s="25">
        <v>-0.79</v>
      </c>
    </row>
    <row r="76" spans="1:11" ht="15" customHeight="1">
      <c r="A76" s="10" t="s">
        <v>222</v>
      </c>
      <c r="B76" s="12"/>
      <c r="C76" s="12"/>
      <c r="D76" s="12"/>
      <c r="E76" s="12"/>
      <c r="F76" s="20">
        <v>-5.7</v>
      </c>
      <c r="G76" s="20">
        <v>-5.58</v>
      </c>
      <c r="H76" s="12">
        <v>0</v>
      </c>
      <c r="I76" s="12"/>
      <c r="J76" s="12"/>
      <c r="K76" s="11">
        <v>14.22</v>
      </c>
    </row>
    <row r="77" spans="1:11" ht="15" customHeight="1">
      <c r="A77" s="18" t="s">
        <v>223</v>
      </c>
      <c r="B77" s="24"/>
      <c r="C77" s="24"/>
      <c r="D77" s="24"/>
      <c r="E77" s="24"/>
      <c r="F77" s="25">
        <v>-5.7</v>
      </c>
      <c r="G77" s="25">
        <v>-5.58</v>
      </c>
      <c r="H77" s="24">
        <v>0</v>
      </c>
      <c r="I77" s="24"/>
      <c r="J77" s="24"/>
      <c r="K77" s="23">
        <v>14.22</v>
      </c>
    </row>
    <row r="78" spans="1:11" ht="15" customHeight="1">
      <c r="A78" s="10" t="s">
        <v>224</v>
      </c>
      <c r="B78" s="12"/>
      <c r="C78" s="12"/>
      <c r="D78" s="12"/>
      <c r="E78" s="12"/>
      <c r="F78" s="12"/>
      <c r="G78" s="12"/>
      <c r="H78" s="20">
        <v>-0.11</v>
      </c>
      <c r="I78" s="26">
        <v>0</v>
      </c>
      <c r="J78" s="12">
        <v>0</v>
      </c>
      <c r="K78" s="12"/>
    </row>
    <row r="79" spans="1:11" ht="15" customHeight="1">
      <c r="A79" s="18" t="s">
        <v>225</v>
      </c>
      <c r="B79" s="24"/>
      <c r="C79" s="24"/>
      <c r="D79" s="24"/>
      <c r="E79" s="24"/>
      <c r="F79" s="24"/>
      <c r="G79" s="24"/>
      <c r="H79" s="25">
        <v>-0.11</v>
      </c>
      <c r="I79" s="27">
        <v>0</v>
      </c>
      <c r="J79" s="24">
        <v>0</v>
      </c>
      <c r="K79" s="24"/>
    </row>
    <row r="80" spans="1:11" ht="15" customHeight="1">
      <c r="A80" s="18" t="s">
        <v>226</v>
      </c>
      <c r="B80" s="23">
        <v>9.25</v>
      </c>
      <c r="C80" s="23">
        <v>14.27</v>
      </c>
      <c r="D80" s="19">
        <v>109.42</v>
      </c>
      <c r="E80" s="25">
        <v>-18.440000000000001</v>
      </c>
      <c r="F80" s="23">
        <v>18.190000000000001</v>
      </c>
      <c r="G80" s="23">
        <v>21.43</v>
      </c>
      <c r="H80" s="23">
        <v>25.69</v>
      </c>
      <c r="I80" s="25">
        <v>-0.89</v>
      </c>
      <c r="J80" s="23">
        <v>10.23</v>
      </c>
      <c r="K80" s="23">
        <v>13.42</v>
      </c>
    </row>
    <row r="81" spans="1:11" ht="15" customHeight="1">
      <c r="A81" s="18" t="s">
        <v>221</v>
      </c>
      <c r="B81" s="23">
        <v>9.25</v>
      </c>
      <c r="C81" s="23">
        <v>14.27</v>
      </c>
      <c r="D81" s="19">
        <v>109.42</v>
      </c>
      <c r="E81" s="25">
        <v>-18.440000000000001</v>
      </c>
      <c r="F81" s="23">
        <v>23.89</v>
      </c>
      <c r="G81" s="23">
        <v>27.01</v>
      </c>
      <c r="H81" s="23">
        <v>25.69</v>
      </c>
      <c r="I81" s="25">
        <v>-0.89</v>
      </c>
      <c r="J81" s="23">
        <v>10.23</v>
      </c>
      <c r="K81" s="25">
        <v>-0.79</v>
      </c>
    </row>
    <row r="82" spans="1:11" ht="15" customHeight="1">
      <c r="A82" s="18" t="s">
        <v>221</v>
      </c>
      <c r="B82" s="23">
        <v>9.25</v>
      </c>
      <c r="C82" s="23">
        <v>14.27</v>
      </c>
      <c r="D82" s="19">
        <v>109.42</v>
      </c>
      <c r="E82" s="25">
        <v>-18.440000000000001</v>
      </c>
      <c r="F82" s="23">
        <v>18.190000000000001</v>
      </c>
      <c r="G82" s="23">
        <v>21.43</v>
      </c>
      <c r="H82" s="23">
        <v>25.69</v>
      </c>
      <c r="I82" s="25">
        <v>-0.89</v>
      </c>
      <c r="J82" s="23">
        <v>10.23</v>
      </c>
      <c r="K82" s="23">
        <v>13.42</v>
      </c>
    </row>
    <row r="83" spans="1:11" ht="15" customHeight="1">
      <c r="A83" s="10" t="s">
        <v>227</v>
      </c>
      <c r="B83" s="12"/>
      <c r="C83" s="12"/>
      <c r="D83" s="15">
        <v>109.42</v>
      </c>
      <c r="E83" s="20">
        <v>-18.440000000000001</v>
      </c>
      <c r="F83" s="11">
        <v>18.190000000000001</v>
      </c>
      <c r="G83" s="11">
        <v>21.43</v>
      </c>
      <c r="H83" s="11">
        <v>25.57</v>
      </c>
      <c r="I83" s="20">
        <v>-0.89</v>
      </c>
      <c r="J83" s="11">
        <v>10.23</v>
      </c>
      <c r="K83" s="11">
        <v>13.42</v>
      </c>
    </row>
    <row r="84" spans="1:11" ht="15" customHeight="1">
      <c r="A84" s="10" t="s">
        <v>228</v>
      </c>
      <c r="B84" s="12"/>
      <c r="C84" s="12"/>
      <c r="D84" s="20">
        <v>-9.8699999999999992</v>
      </c>
      <c r="E84" s="11">
        <v>17.7</v>
      </c>
      <c r="F84" s="20">
        <v>-13.77</v>
      </c>
      <c r="G84" s="11">
        <v>1.53</v>
      </c>
      <c r="H84" s="20">
        <v>-4.83</v>
      </c>
      <c r="I84" s="11">
        <v>11.03</v>
      </c>
      <c r="J84" s="20">
        <v>-2.06</v>
      </c>
      <c r="K84" s="11">
        <v>30.55</v>
      </c>
    </row>
    <row r="85" spans="1:11" ht="15" customHeight="1">
      <c r="A85" s="10" t="s">
        <v>229</v>
      </c>
      <c r="B85" s="12"/>
      <c r="C85" s="12"/>
      <c r="D85" s="20">
        <v>-0.05</v>
      </c>
      <c r="E85" s="12">
        <v>0</v>
      </c>
      <c r="F85" s="12"/>
      <c r="G85" s="12"/>
      <c r="H85" s="12"/>
      <c r="I85" s="12"/>
      <c r="J85" s="12"/>
      <c r="K85" s="12"/>
    </row>
    <row r="86" spans="1:11" ht="15" customHeight="1">
      <c r="A86" s="10" t="s">
        <v>230</v>
      </c>
      <c r="B86" s="12"/>
      <c r="C86" s="12"/>
      <c r="D86" s="20">
        <v>-26.46</v>
      </c>
      <c r="E86" s="12">
        <v>0</v>
      </c>
      <c r="F86" s="12"/>
      <c r="G86" s="12"/>
      <c r="H86" s="12"/>
      <c r="I86" s="12"/>
      <c r="J86" s="20">
        <v>-1.1399999999999999</v>
      </c>
      <c r="K86" s="20">
        <v>-1.65</v>
      </c>
    </row>
    <row r="87" spans="1:11" ht="15" customHeight="1">
      <c r="A87" s="10" t="s">
        <v>231</v>
      </c>
      <c r="B87" s="12"/>
      <c r="C87" s="12"/>
      <c r="D87" s="12">
        <v>0</v>
      </c>
      <c r="E87" s="20">
        <v>-44.35</v>
      </c>
      <c r="F87" s="11">
        <v>0.09</v>
      </c>
      <c r="G87" s="20">
        <v>-0.99</v>
      </c>
      <c r="H87" s="11">
        <v>2.48</v>
      </c>
      <c r="I87" s="20">
        <v>-0.33</v>
      </c>
      <c r="J87" s="12"/>
      <c r="K87" s="12"/>
    </row>
    <row r="88" spans="1:11" ht="15" customHeight="1">
      <c r="A88" s="18" t="s">
        <v>232</v>
      </c>
      <c r="B88" s="24"/>
      <c r="C88" s="24"/>
      <c r="D88" s="25">
        <v>-36.380000000000003</v>
      </c>
      <c r="E88" s="25">
        <v>-26.65</v>
      </c>
      <c r="F88" s="25">
        <v>-13.68</v>
      </c>
      <c r="G88" s="23">
        <v>0.55000000000000004</v>
      </c>
      <c r="H88" s="25">
        <v>-2.35</v>
      </c>
      <c r="I88" s="23">
        <v>10.7</v>
      </c>
      <c r="J88" s="25">
        <v>-3.2</v>
      </c>
      <c r="K88" s="23">
        <v>28.91</v>
      </c>
    </row>
    <row r="89" spans="1:11" ht="15" customHeight="1">
      <c r="A89" s="10" t="s">
        <v>233</v>
      </c>
      <c r="B89" s="12"/>
      <c r="C89" s="12"/>
      <c r="D89" s="12"/>
      <c r="E89" s="12"/>
      <c r="F89" s="12"/>
      <c r="G89" s="12"/>
      <c r="H89" s="12"/>
      <c r="I89" s="26">
        <v>0</v>
      </c>
      <c r="J89" s="12">
        <v>0</v>
      </c>
      <c r="K89" s="12"/>
    </row>
    <row r="90" spans="1:11" ht="15" customHeight="1">
      <c r="A90" s="10" t="s">
        <v>234</v>
      </c>
      <c r="B90" s="12"/>
      <c r="C90" s="12"/>
      <c r="D90" s="12"/>
      <c r="E90" s="12"/>
      <c r="F90" s="12"/>
      <c r="G90" s="12"/>
      <c r="H90" s="12"/>
      <c r="I90" s="11">
        <v>9.81</v>
      </c>
      <c r="J90" s="11">
        <v>7.03</v>
      </c>
      <c r="K90" s="11">
        <v>42.33</v>
      </c>
    </row>
    <row r="91" spans="1:11" ht="15" customHeight="1">
      <c r="A91" s="18" t="s">
        <v>235</v>
      </c>
      <c r="B91" s="24"/>
      <c r="C91" s="24"/>
      <c r="D91" s="23">
        <v>73.040000000000006</v>
      </c>
      <c r="E91" s="25">
        <v>-45.09</v>
      </c>
      <c r="F91" s="23">
        <v>4.51</v>
      </c>
      <c r="G91" s="23">
        <v>21.98</v>
      </c>
      <c r="H91" s="23">
        <v>23.22</v>
      </c>
      <c r="I91" s="23">
        <v>9.81</v>
      </c>
      <c r="J91" s="23">
        <v>7.03</v>
      </c>
      <c r="K91" s="23">
        <v>42.33</v>
      </c>
    </row>
    <row r="92" spans="1:11" ht="15" customHeight="1">
      <c r="A92" s="10" t="s">
        <v>236</v>
      </c>
      <c r="B92" s="11">
        <v>33.35</v>
      </c>
      <c r="C92" s="11">
        <v>36.81</v>
      </c>
      <c r="D92" s="11">
        <v>38.03</v>
      </c>
      <c r="E92" s="11">
        <v>38.76</v>
      </c>
      <c r="F92" s="11">
        <v>39.46</v>
      </c>
      <c r="G92" s="11">
        <v>40.159999999999997</v>
      </c>
      <c r="H92" s="11">
        <v>41.68</v>
      </c>
      <c r="I92" s="11">
        <v>44.64</v>
      </c>
      <c r="J92" s="11">
        <v>45.3</v>
      </c>
      <c r="K92" s="11">
        <v>45.79</v>
      </c>
    </row>
    <row r="93" spans="1:11" ht="15" customHeight="1">
      <c r="A93" s="10" t="s">
        <v>237</v>
      </c>
      <c r="B93" s="11">
        <v>33.82</v>
      </c>
      <c r="C93" s="11">
        <v>37.479999999999997</v>
      </c>
      <c r="D93" s="11">
        <v>38.659999999999997</v>
      </c>
      <c r="E93" s="11">
        <v>38.76</v>
      </c>
      <c r="F93" s="11">
        <v>40.08</v>
      </c>
      <c r="G93" s="11">
        <v>41.21</v>
      </c>
      <c r="H93" s="11">
        <v>42.9</v>
      </c>
      <c r="I93" s="11">
        <v>44.64</v>
      </c>
      <c r="J93" s="11">
        <v>45.91</v>
      </c>
      <c r="K93" s="11">
        <v>45.79</v>
      </c>
    </row>
    <row r="94" spans="1:11" ht="15" customHeight="1">
      <c r="A94" s="10" t="s">
        <v>238</v>
      </c>
      <c r="B94" s="11">
        <v>0.28000000000000003</v>
      </c>
      <c r="C94" s="11">
        <v>0.39</v>
      </c>
      <c r="D94" s="11">
        <v>2.88</v>
      </c>
      <c r="E94" s="20">
        <v>-0.48</v>
      </c>
      <c r="F94" s="11">
        <v>0.47</v>
      </c>
      <c r="G94" s="11">
        <v>0.53</v>
      </c>
      <c r="H94" s="11">
        <v>0.62</v>
      </c>
      <c r="I94" s="20">
        <v>-0.02</v>
      </c>
      <c r="J94" s="11">
        <v>0.23</v>
      </c>
      <c r="K94" s="11">
        <v>0.28999999999999998</v>
      </c>
    </row>
    <row r="95" spans="1:11" ht="15" customHeight="1">
      <c r="A95" s="10" t="s">
        <v>239</v>
      </c>
      <c r="B95" s="11">
        <v>0.28000000000000003</v>
      </c>
      <c r="C95" s="11">
        <v>0.39</v>
      </c>
      <c r="D95" s="11">
        <v>2.88</v>
      </c>
      <c r="E95" s="20">
        <v>-0.48</v>
      </c>
      <c r="F95" s="11">
        <v>0.61</v>
      </c>
      <c r="G95" s="11">
        <v>0.67</v>
      </c>
      <c r="H95" s="11">
        <v>0.62</v>
      </c>
      <c r="I95" s="20">
        <v>-0.02</v>
      </c>
      <c r="J95" s="11">
        <v>0.23</v>
      </c>
      <c r="K95" s="20">
        <v>-0.02</v>
      </c>
    </row>
    <row r="96" spans="1:11" ht="15" customHeight="1">
      <c r="A96" s="10" t="s">
        <v>240</v>
      </c>
      <c r="B96" s="11">
        <v>0.27</v>
      </c>
      <c r="C96" s="11">
        <v>0.38</v>
      </c>
      <c r="D96" s="11">
        <v>2.83</v>
      </c>
      <c r="E96" s="20">
        <v>-0.48</v>
      </c>
      <c r="F96" s="11">
        <v>0.6</v>
      </c>
      <c r="G96" s="11">
        <v>0.66</v>
      </c>
      <c r="H96" s="11">
        <v>0.6</v>
      </c>
      <c r="I96" s="20">
        <v>-0.02</v>
      </c>
      <c r="J96" s="11">
        <v>0.22</v>
      </c>
      <c r="K96" s="20">
        <v>-0.02</v>
      </c>
    </row>
    <row r="97" spans="1:11" ht="15" customHeight="1">
      <c r="A97" s="10" t="s">
        <v>241</v>
      </c>
      <c r="B97" s="11">
        <v>9.25</v>
      </c>
      <c r="C97" s="11">
        <v>14.27</v>
      </c>
      <c r="D97" s="15">
        <v>109.42</v>
      </c>
      <c r="E97" s="20">
        <v>-18.440000000000001</v>
      </c>
      <c r="F97" s="11">
        <v>18.190000000000001</v>
      </c>
      <c r="G97" s="11">
        <v>21.43</v>
      </c>
      <c r="H97" s="11">
        <v>25.69</v>
      </c>
      <c r="I97" s="20">
        <v>-0.89</v>
      </c>
      <c r="J97" s="11">
        <v>10.23</v>
      </c>
      <c r="K97" s="11">
        <v>13.42</v>
      </c>
    </row>
    <row r="98" spans="1:11" ht="15" customHeight="1">
      <c r="A98" s="10" t="s">
        <v>239</v>
      </c>
      <c r="B98" s="11">
        <v>0.27</v>
      </c>
      <c r="C98" s="11">
        <v>0.38</v>
      </c>
      <c r="D98" s="11">
        <v>2.83</v>
      </c>
      <c r="E98" s="20">
        <v>-0.48</v>
      </c>
      <c r="F98" s="11">
        <v>0.46</v>
      </c>
      <c r="G98" s="11">
        <v>0.52</v>
      </c>
      <c r="H98" s="11">
        <v>0.6</v>
      </c>
      <c r="I98" s="20">
        <v>-0.02</v>
      </c>
      <c r="J98" s="11">
        <v>0.22</v>
      </c>
      <c r="K98" s="11">
        <v>0.28999999999999998</v>
      </c>
    </row>
    <row r="99" spans="1:11" ht="15" customHeight="1">
      <c r="A99" s="10" t="s">
        <v>242</v>
      </c>
      <c r="B99" s="11">
        <v>9.25</v>
      </c>
      <c r="C99" s="11">
        <v>14.27</v>
      </c>
      <c r="D99" s="15">
        <v>109.42</v>
      </c>
      <c r="E99" s="20">
        <v>-18.440000000000001</v>
      </c>
      <c r="F99" s="11">
        <v>23.89</v>
      </c>
      <c r="G99" s="11">
        <v>27.01</v>
      </c>
      <c r="H99" s="11">
        <v>25.69</v>
      </c>
      <c r="I99" s="20">
        <v>-0.89</v>
      </c>
      <c r="J99" s="11">
        <v>10.23</v>
      </c>
      <c r="K99" s="20">
        <v>-0.79</v>
      </c>
    </row>
    <row r="100" spans="1:11" ht="15" customHeight="1">
      <c r="A100" s="10" t="s">
        <v>243</v>
      </c>
      <c r="B100" s="11">
        <v>0.99</v>
      </c>
      <c r="C100" s="11">
        <v>1.04</v>
      </c>
      <c r="D100" s="11">
        <v>1.07</v>
      </c>
      <c r="E100" s="11">
        <v>1.2</v>
      </c>
      <c r="F100" s="11">
        <v>1.26</v>
      </c>
      <c r="G100" s="11">
        <v>1.26</v>
      </c>
      <c r="H100" s="11">
        <v>1.37</v>
      </c>
      <c r="I100" s="11">
        <v>1.39</v>
      </c>
      <c r="J100" s="11">
        <v>1.5</v>
      </c>
      <c r="K100" s="11">
        <v>1.81</v>
      </c>
    </row>
    <row r="101" spans="1:11" ht="15" customHeight="1">
      <c r="A101" s="10" t="s">
        <v>244</v>
      </c>
      <c r="B101" s="11">
        <v>0.18</v>
      </c>
      <c r="C101" s="11">
        <v>0.17</v>
      </c>
      <c r="D101" s="11">
        <v>0.28000000000000003</v>
      </c>
      <c r="E101" s="11">
        <v>0.21</v>
      </c>
      <c r="F101" s="11">
        <v>0.08</v>
      </c>
      <c r="G101" s="11">
        <v>0.1</v>
      </c>
      <c r="H101" s="11">
        <v>0.72</v>
      </c>
      <c r="I101" s="11">
        <v>0.23</v>
      </c>
      <c r="J101" s="11">
        <v>0.19</v>
      </c>
      <c r="K101" s="11">
        <v>0.19</v>
      </c>
    </row>
    <row r="102" spans="1:11" ht="15" customHeight="1">
      <c r="A102" s="10" t="s">
        <v>245</v>
      </c>
      <c r="B102" s="11">
        <v>0.12</v>
      </c>
      <c r="C102" s="11">
        <v>0.23</v>
      </c>
      <c r="D102" s="11">
        <v>0.19</v>
      </c>
      <c r="E102" s="11">
        <v>0.32</v>
      </c>
      <c r="F102" s="11">
        <v>0.16</v>
      </c>
      <c r="G102" s="11">
        <v>0.17</v>
      </c>
      <c r="H102" s="11">
        <v>0.34</v>
      </c>
      <c r="I102" s="11">
        <v>0.14000000000000001</v>
      </c>
      <c r="J102" s="11">
        <v>0.22</v>
      </c>
      <c r="K102" s="11">
        <v>0.3</v>
      </c>
    </row>
    <row r="103" spans="1:11" ht="15" customHeight="1">
      <c r="A103" s="10" t="s">
        <v>246</v>
      </c>
      <c r="B103" s="11">
        <v>1.29</v>
      </c>
      <c r="C103" s="11">
        <v>1.43</v>
      </c>
      <c r="D103" s="11">
        <v>1.55</v>
      </c>
      <c r="E103" s="11">
        <v>1.73</v>
      </c>
      <c r="F103" s="11">
        <v>1.5</v>
      </c>
      <c r="G103" s="11">
        <v>1.52</v>
      </c>
      <c r="H103" s="11">
        <v>2.76</v>
      </c>
      <c r="I103" s="11">
        <v>1.76</v>
      </c>
      <c r="J103" s="11">
        <v>1.91</v>
      </c>
      <c r="K103" s="11">
        <v>2.35</v>
      </c>
    </row>
    <row r="104" spans="1:11" ht="15" customHeight="1">
      <c r="A104" s="10" t="s">
        <v>247</v>
      </c>
      <c r="B104" s="12"/>
      <c r="C104" s="12"/>
      <c r="D104" s="12"/>
      <c r="E104" s="12"/>
      <c r="F104" s="12"/>
      <c r="G104" s="12"/>
      <c r="H104" s="11">
        <v>0.34</v>
      </c>
      <c r="I104" s="12">
        <v>0</v>
      </c>
      <c r="J104" s="12">
        <v>0</v>
      </c>
      <c r="K104" s="11">
        <v>0.05</v>
      </c>
    </row>
    <row r="105" spans="1:11" ht="15" customHeight="1">
      <c r="A105" s="10" t="s">
        <v>248</v>
      </c>
      <c r="B105" s="11">
        <v>5.95</v>
      </c>
      <c r="C105" s="11">
        <v>7.12</v>
      </c>
      <c r="D105" s="11">
        <v>7.82</v>
      </c>
      <c r="E105" s="11">
        <v>9.4600000000000009</v>
      </c>
      <c r="F105" s="11">
        <v>9.84</v>
      </c>
      <c r="G105" s="11">
        <v>15.4</v>
      </c>
      <c r="H105" s="11">
        <v>23.94</v>
      </c>
      <c r="I105" s="11">
        <v>29.38</v>
      </c>
      <c r="J105" s="11">
        <v>23.88</v>
      </c>
      <c r="K105" s="11">
        <v>23.67</v>
      </c>
    </row>
    <row r="106" spans="1:11" ht="15" customHeight="1">
      <c r="A106" s="10" t="s">
        <v>249</v>
      </c>
      <c r="B106" s="11">
        <v>7.02</v>
      </c>
      <c r="C106" s="11">
        <v>7.23</v>
      </c>
      <c r="D106" s="11">
        <v>7.26</v>
      </c>
      <c r="E106" s="11">
        <v>8.09</v>
      </c>
      <c r="F106" s="11">
        <v>21.28</v>
      </c>
      <c r="G106" s="11">
        <v>16.989999999999998</v>
      </c>
      <c r="H106" s="11">
        <v>17.57</v>
      </c>
      <c r="I106" s="11">
        <v>18.53</v>
      </c>
      <c r="J106" s="11">
        <v>17.22</v>
      </c>
      <c r="K106" s="11">
        <v>14.5</v>
      </c>
    </row>
    <row r="107" spans="1:11" ht="15" customHeight="1">
      <c r="A107" s="10" t="s">
        <v>250</v>
      </c>
      <c r="B107" s="11">
        <v>33.57</v>
      </c>
      <c r="C107" s="11">
        <v>26.72</v>
      </c>
      <c r="D107" s="11">
        <v>29.48</v>
      </c>
      <c r="E107" s="11">
        <v>41.03</v>
      </c>
      <c r="F107" s="11">
        <v>30</v>
      </c>
      <c r="G107" s="11">
        <v>24.79</v>
      </c>
      <c r="H107" s="11">
        <v>29.02</v>
      </c>
      <c r="I107" s="11">
        <v>41</v>
      </c>
      <c r="J107" s="11">
        <v>40.72</v>
      </c>
      <c r="K107" s="11">
        <v>35.92</v>
      </c>
    </row>
    <row r="108" spans="1:11" ht="15" customHeight="1">
      <c r="A108" s="10" t="s">
        <v>251</v>
      </c>
      <c r="B108" s="12"/>
      <c r="C108" s="12"/>
      <c r="D108" s="12"/>
      <c r="E108" s="12"/>
      <c r="F108" s="12"/>
      <c r="G108" s="12"/>
      <c r="H108" s="12"/>
      <c r="I108" s="11">
        <v>1.91</v>
      </c>
      <c r="J108" s="11">
        <v>1.22</v>
      </c>
      <c r="K108" s="11">
        <v>0.94</v>
      </c>
    </row>
    <row r="109" spans="1:11" ht="15" customHeight="1">
      <c r="A109" s="10" t="s">
        <v>252</v>
      </c>
      <c r="B109" s="12"/>
      <c r="C109" s="12"/>
      <c r="D109" s="11">
        <v>40.869999999999997</v>
      </c>
      <c r="E109" s="11">
        <v>40.869999999999997</v>
      </c>
      <c r="F109" s="11">
        <v>57.16</v>
      </c>
      <c r="G109" s="11">
        <v>67.77</v>
      </c>
      <c r="H109" s="11">
        <v>80.31</v>
      </c>
      <c r="I109" s="11">
        <v>85.72</v>
      </c>
      <c r="J109" s="11">
        <v>75.19</v>
      </c>
      <c r="K109" s="12"/>
    </row>
    <row r="110" spans="1:11" ht="15" customHeight="1">
      <c r="A110" s="10" t="s">
        <v>253</v>
      </c>
      <c r="B110" s="12"/>
      <c r="C110" s="12"/>
      <c r="D110" s="11">
        <v>1.1100000000000001</v>
      </c>
      <c r="E110" s="11">
        <v>1.05</v>
      </c>
      <c r="F110" s="11">
        <v>1.43</v>
      </c>
      <c r="G110" s="11">
        <v>1.67</v>
      </c>
      <c r="H110" s="11">
        <v>1.9</v>
      </c>
      <c r="I110" s="11">
        <v>1.89</v>
      </c>
      <c r="J110" s="11">
        <v>1.64</v>
      </c>
      <c r="K110" s="12"/>
    </row>
    <row r="111" spans="1:11" ht="15" customHeight="1">
      <c r="A111" s="10" t="s">
        <v>254</v>
      </c>
      <c r="B111" s="12"/>
      <c r="C111" s="12"/>
      <c r="D111" s="11">
        <v>1.1100000000000001</v>
      </c>
      <c r="E111" s="11">
        <v>1.05</v>
      </c>
      <c r="F111" s="11">
        <v>1.43</v>
      </c>
      <c r="G111" s="11">
        <v>1.67</v>
      </c>
      <c r="H111" s="11">
        <v>1.9</v>
      </c>
      <c r="I111" s="11">
        <v>1.89</v>
      </c>
      <c r="J111" s="11">
        <v>1.64</v>
      </c>
      <c r="K111" s="12"/>
    </row>
    <row r="112" spans="1:11" ht="15" customHeight="1">
      <c r="A112" s="10" t="s">
        <v>255</v>
      </c>
      <c r="B112" s="12"/>
      <c r="C112" s="12"/>
      <c r="D112" s="11">
        <v>80.650000000000006</v>
      </c>
      <c r="E112" s="11">
        <v>70.900000000000006</v>
      </c>
      <c r="F112" s="11">
        <v>84.71</v>
      </c>
      <c r="G112" s="11">
        <v>98.93</v>
      </c>
      <c r="H112" s="15">
        <v>109.76</v>
      </c>
      <c r="I112" s="15">
        <v>135.32</v>
      </c>
      <c r="J112" s="15">
        <v>135.04</v>
      </c>
      <c r="K112" s="12"/>
    </row>
    <row r="113" spans="1:11" ht="15" customHeight="1">
      <c r="A113" s="10" t="s">
        <v>256</v>
      </c>
      <c r="B113" s="12"/>
      <c r="C113" s="12"/>
      <c r="D113" s="12"/>
      <c r="E113" s="12"/>
      <c r="F113" s="20">
        <v>-0.87</v>
      </c>
      <c r="G113" s="20">
        <v>-0.27</v>
      </c>
      <c r="H113" s="20">
        <v>-1.91</v>
      </c>
      <c r="I113" s="12"/>
      <c r="J113" s="12"/>
      <c r="K113" s="12"/>
    </row>
    <row r="114" spans="1:11" ht="15" customHeight="1">
      <c r="A114" s="10" t="s">
        <v>257</v>
      </c>
      <c r="B114" s="12"/>
      <c r="C114" s="12"/>
      <c r="D114" s="12"/>
      <c r="E114" s="12"/>
      <c r="F114" s="20">
        <v>-7.0000000000000007E-2</v>
      </c>
      <c r="G114" s="20">
        <v>-0.04</v>
      </c>
      <c r="H114" s="12">
        <v>0</v>
      </c>
      <c r="I114" s="12"/>
      <c r="J114" s="12"/>
      <c r="K114" s="12"/>
    </row>
    <row r="115" spans="1:11" ht="15" customHeight="1">
      <c r="A115" s="10" t="s">
        <v>258</v>
      </c>
      <c r="B115" s="11">
        <v>33.35</v>
      </c>
      <c r="C115" s="11">
        <v>36.81</v>
      </c>
      <c r="D115" s="11">
        <v>38.03</v>
      </c>
      <c r="E115" s="11">
        <v>38.76</v>
      </c>
      <c r="F115" s="11">
        <v>39.46</v>
      </c>
      <c r="G115" s="11">
        <v>40.159999999999997</v>
      </c>
      <c r="H115" s="11">
        <v>41.68</v>
      </c>
      <c r="I115" s="11">
        <v>44.64</v>
      </c>
      <c r="J115" s="11">
        <v>45.3</v>
      </c>
      <c r="K115" s="11">
        <v>45.79</v>
      </c>
    </row>
    <row r="116" spans="1:11" ht="15" customHeight="1">
      <c r="A116" s="10" t="s">
        <v>259</v>
      </c>
      <c r="B116" s="11">
        <v>33.82</v>
      </c>
      <c r="C116" s="11">
        <v>37.479999999999997</v>
      </c>
      <c r="D116" s="11">
        <v>38.659999999999997</v>
      </c>
      <c r="E116" s="11">
        <v>38.76</v>
      </c>
      <c r="F116" s="11">
        <v>40.08</v>
      </c>
      <c r="G116" s="11">
        <v>41.21</v>
      </c>
      <c r="H116" s="11">
        <v>42.9</v>
      </c>
      <c r="I116" s="11">
        <v>44.64</v>
      </c>
      <c r="J116" s="11">
        <v>45.91</v>
      </c>
      <c r="K116" s="11">
        <v>45.79</v>
      </c>
    </row>
    <row r="117" spans="1:11" ht="15" customHeight="1">
      <c r="A117" s="10" t="s">
        <v>238</v>
      </c>
      <c r="B117" s="11">
        <v>0.28000000000000003</v>
      </c>
      <c r="C117" s="11">
        <v>0.39</v>
      </c>
      <c r="D117" s="11">
        <v>2.88</v>
      </c>
      <c r="E117" s="20">
        <v>-0.48</v>
      </c>
      <c r="F117" s="11">
        <v>0.47</v>
      </c>
      <c r="G117" s="11">
        <v>0.53</v>
      </c>
      <c r="H117" s="11">
        <v>0.62</v>
      </c>
      <c r="I117" s="20">
        <v>-0.02</v>
      </c>
      <c r="J117" s="11">
        <v>0.23</v>
      </c>
      <c r="K117" s="11">
        <v>0.28999999999999998</v>
      </c>
    </row>
    <row r="118" spans="1:11" ht="15" customHeight="1">
      <c r="A118" s="10" t="s">
        <v>239</v>
      </c>
      <c r="B118" s="11">
        <v>0.27</v>
      </c>
      <c r="C118" s="11">
        <v>0.38</v>
      </c>
      <c r="D118" s="11">
        <v>2.83</v>
      </c>
      <c r="E118" s="20">
        <v>-0.48</v>
      </c>
      <c r="F118" s="11">
        <v>0.46</v>
      </c>
      <c r="G118" s="11">
        <v>0.52</v>
      </c>
      <c r="H118" s="11">
        <v>0.6</v>
      </c>
      <c r="I118" s="20">
        <v>-0.02</v>
      </c>
      <c r="J118" s="11">
        <v>0.22</v>
      </c>
      <c r="K118" s="11">
        <v>0.28999999999999998</v>
      </c>
    </row>
    <row r="119" spans="1:11" ht="15" customHeight="1">
      <c r="A119" s="10" t="s">
        <v>260</v>
      </c>
      <c r="B119" s="11">
        <v>0.28000000000000003</v>
      </c>
      <c r="C119" s="11">
        <v>0.39</v>
      </c>
      <c r="D119" s="11">
        <v>2.88</v>
      </c>
      <c r="E119" s="20">
        <v>-0.48</v>
      </c>
      <c r="F119" s="11">
        <v>0.61</v>
      </c>
      <c r="G119" s="11">
        <v>0.67</v>
      </c>
      <c r="H119" s="11">
        <v>0.62</v>
      </c>
      <c r="I119" s="20">
        <v>-0.02</v>
      </c>
      <c r="J119" s="11">
        <v>0.23</v>
      </c>
      <c r="K119" s="20">
        <v>-0.02</v>
      </c>
    </row>
    <row r="120" spans="1:11" ht="15" customHeight="1">
      <c r="A120" s="10" t="s">
        <v>261</v>
      </c>
      <c r="B120" s="11">
        <v>0.27</v>
      </c>
      <c r="C120" s="11">
        <v>0.38</v>
      </c>
      <c r="D120" s="11">
        <v>2.83</v>
      </c>
      <c r="E120" s="20">
        <v>-0.48</v>
      </c>
      <c r="F120" s="11">
        <v>0.6</v>
      </c>
      <c r="G120" s="11">
        <v>0.66</v>
      </c>
      <c r="H120" s="11">
        <v>0.6</v>
      </c>
      <c r="I120" s="20">
        <v>-0.02</v>
      </c>
      <c r="J120" s="11">
        <v>0.22</v>
      </c>
      <c r="K120" s="20">
        <v>-0.02</v>
      </c>
    </row>
    <row r="121" spans="1:11" ht="15" customHeight="1">
      <c r="A121" s="10" t="s">
        <v>262</v>
      </c>
      <c r="B121" s="11">
        <v>1</v>
      </c>
      <c r="C121" s="11">
        <v>1</v>
      </c>
      <c r="D121" s="11">
        <v>1</v>
      </c>
      <c r="E121" s="11">
        <v>1</v>
      </c>
      <c r="F121" s="11">
        <v>1</v>
      </c>
      <c r="G121" s="11">
        <v>1</v>
      </c>
      <c r="H121" s="11">
        <v>1</v>
      </c>
      <c r="I121" s="11">
        <v>1</v>
      </c>
      <c r="J121" s="11">
        <v>1</v>
      </c>
      <c r="K121" s="11">
        <v>1</v>
      </c>
    </row>
    <row r="122" spans="1:11" ht="15" customHeight="1">
      <c r="A122" s="10" t="s">
        <v>263</v>
      </c>
      <c r="B122" s="11">
        <v>9.25</v>
      </c>
      <c r="C122" s="11">
        <v>14.27</v>
      </c>
      <c r="D122" s="15">
        <v>109.42</v>
      </c>
      <c r="E122" s="20">
        <v>-18.440000000000001</v>
      </c>
      <c r="F122" s="11">
        <v>23.89</v>
      </c>
      <c r="G122" s="11">
        <v>27.01</v>
      </c>
      <c r="H122" s="11">
        <v>25.69</v>
      </c>
      <c r="I122" s="20">
        <v>-0.89</v>
      </c>
      <c r="J122" s="11">
        <v>10.23</v>
      </c>
      <c r="K122" s="20">
        <v>-0.79</v>
      </c>
    </row>
    <row r="123" spans="1:11" ht="15" customHeight="1">
      <c r="A123" s="10" t="s">
        <v>264</v>
      </c>
      <c r="B123" s="11">
        <v>9.25</v>
      </c>
      <c r="C123" s="11">
        <v>14.27</v>
      </c>
      <c r="D123" s="15">
        <v>109.42</v>
      </c>
      <c r="E123" s="20">
        <v>-18.440000000000001</v>
      </c>
      <c r="F123" s="11">
        <v>23.89</v>
      </c>
      <c r="G123" s="11">
        <v>27.01</v>
      </c>
      <c r="H123" s="11">
        <v>25.69</v>
      </c>
      <c r="I123" s="20">
        <v>-0.89</v>
      </c>
      <c r="J123" s="11">
        <v>10.23</v>
      </c>
      <c r="K123" s="20">
        <v>-0.79</v>
      </c>
    </row>
    <row r="124" spans="1:11" ht="15" customHeight="1">
      <c r="A124" s="10" t="s">
        <v>265</v>
      </c>
      <c r="B124" s="11">
        <v>9.25</v>
      </c>
      <c r="C124" s="11">
        <v>14.27</v>
      </c>
      <c r="D124" s="15">
        <v>109.42</v>
      </c>
      <c r="E124" s="20">
        <v>-18.440000000000001</v>
      </c>
      <c r="F124" s="11">
        <v>18.190000000000001</v>
      </c>
      <c r="G124" s="11">
        <v>21.43</v>
      </c>
      <c r="H124" s="11">
        <v>25.69</v>
      </c>
      <c r="I124" s="20">
        <v>-0.89</v>
      </c>
      <c r="J124" s="11">
        <v>10.23</v>
      </c>
      <c r="K124" s="11">
        <v>13.42</v>
      </c>
    </row>
    <row r="125" spans="1:11" ht="15" customHeight="1">
      <c r="A125" s="10" t="s">
        <v>266</v>
      </c>
      <c r="B125" s="11">
        <v>9.25</v>
      </c>
      <c r="C125" s="11">
        <v>14.27</v>
      </c>
      <c r="D125" s="15">
        <v>109.42</v>
      </c>
      <c r="E125" s="20">
        <v>-18.440000000000001</v>
      </c>
      <c r="F125" s="11">
        <v>18.190000000000001</v>
      </c>
      <c r="G125" s="11">
        <v>21.43</v>
      </c>
      <c r="H125" s="11">
        <v>25.69</v>
      </c>
      <c r="I125" s="20">
        <v>-0.89</v>
      </c>
      <c r="J125" s="11">
        <v>10.23</v>
      </c>
      <c r="K125" s="11">
        <v>13.42</v>
      </c>
    </row>
    <row r="126" spans="1:11" ht="15" customHeight="1">
      <c r="A126" s="10" t="s">
        <v>267</v>
      </c>
      <c r="B126" s="11">
        <v>1</v>
      </c>
      <c r="C126" s="11">
        <v>1</v>
      </c>
      <c r="D126" s="11">
        <v>1</v>
      </c>
      <c r="E126" s="11">
        <v>1</v>
      </c>
      <c r="F126" s="11">
        <v>1</v>
      </c>
      <c r="G126" s="11">
        <v>1</v>
      </c>
      <c r="H126" s="11">
        <v>1</v>
      </c>
      <c r="I126" s="11">
        <v>1</v>
      </c>
      <c r="J126" s="11">
        <v>1</v>
      </c>
      <c r="K126" s="11">
        <v>1</v>
      </c>
    </row>
  </sheetData>
  <mergeCells count="50"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B12"/>
    <mergeCell ref="B13"/>
    <mergeCell ref="B14"/>
    <mergeCell ref="B15"/>
    <mergeCell ref="C12"/>
    <mergeCell ref="C13"/>
    <mergeCell ref="C14"/>
    <mergeCell ref="C15"/>
    <mergeCell ref="D12"/>
    <mergeCell ref="D13"/>
    <mergeCell ref="D14"/>
    <mergeCell ref="D15"/>
    <mergeCell ref="E12"/>
    <mergeCell ref="E13"/>
    <mergeCell ref="E14"/>
    <mergeCell ref="E15"/>
    <mergeCell ref="F12"/>
    <mergeCell ref="F13"/>
    <mergeCell ref="F14"/>
    <mergeCell ref="F15"/>
    <mergeCell ref="G12"/>
    <mergeCell ref="G13"/>
    <mergeCell ref="G14"/>
    <mergeCell ref="G15"/>
    <mergeCell ref="H12"/>
    <mergeCell ref="H13"/>
    <mergeCell ref="H14"/>
    <mergeCell ref="H15"/>
    <mergeCell ref="I12"/>
    <mergeCell ref="I13"/>
    <mergeCell ref="I14"/>
    <mergeCell ref="I15"/>
    <mergeCell ref="J12"/>
    <mergeCell ref="J13"/>
    <mergeCell ref="J14"/>
    <mergeCell ref="J15"/>
    <mergeCell ref="K12"/>
    <mergeCell ref="K13"/>
    <mergeCell ref="K14"/>
    <mergeCell ref="K15"/>
  </mergeCells>
  <pageMargins left="0.5" right="0.5" top="1" bottom="1" header="0.5" footer="0.7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79"/>
  <sheetViews>
    <sheetView topLeftCell="A16" workbookViewId="0">
      <selection activeCell="B26" sqref="B26"/>
    </sheetView>
  </sheetViews>
  <sheetFormatPr defaultRowHeight="14.4" outlineLevelRow="1"/>
  <cols>
    <col min="1" max="1" width="85.6640625" customWidth="1"/>
    <col min="2" max="11" width="15.6640625" customWidth="1"/>
  </cols>
  <sheetData>
    <row r="1" spans="1:11" ht="15" customHeight="1">
      <c r="A1" s="1" t="s">
        <v>268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" customHeight="1">
      <c r="A2" s="3" t="s">
        <v>1</v>
      </c>
      <c r="B2" s="4" t="s">
        <v>2</v>
      </c>
    </row>
    <row r="3" spans="1:11">
      <c r="A3" s="3" t="s">
        <v>3</v>
      </c>
      <c r="B3" s="3" t="s">
        <v>4</v>
      </c>
    </row>
    <row r="4" spans="1:11">
      <c r="A4" s="3" t="s">
        <v>5</v>
      </c>
      <c r="B4" s="3" t="s">
        <v>4</v>
      </c>
    </row>
    <row r="5" spans="1:11">
      <c r="A5" s="3" t="s">
        <v>6</v>
      </c>
      <c r="B5" s="3" t="s">
        <v>7</v>
      </c>
    </row>
    <row r="6" spans="1:11">
      <c r="A6" s="3" t="s">
        <v>8</v>
      </c>
      <c r="B6" s="3" t="s">
        <v>9</v>
      </c>
    </row>
    <row r="7" spans="1:11">
      <c r="A7" s="3" t="s">
        <v>10</v>
      </c>
      <c r="B7" s="3" t="s">
        <v>11</v>
      </c>
    </row>
    <row r="8" spans="1:11">
      <c r="A8" s="3" t="s">
        <v>12</v>
      </c>
      <c r="B8" s="3" t="s">
        <v>13</v>
      </c>
    </row>
    <row r="9" spans="1:11">
      <c r="A9" s="3" t="s">
        <v>14</v>
      </c>
      <c r="B9" s="3" t="s">
        <v>15</v>
      </c>
    </row>
    <row r="10" spans="1:11">
      <c r="A10" s="3" t="s">
        <v>16</v>
      </c>
      <c r="B10" s="5">
        <v>46068.683553726798</v>
      </c>
    </row>
    <row r="11" spans="1:11">
      <c r="A11" s="6" t="s">
        <v>17</v>
      </c>
      <c r="B11" s="244" t="s">
        <v>18</v>
      </c>
      <c r="C11" s="244" t="s">
        <v>19</v>
      </c>
      <c r="D11" s="244" t="s">
        <v>20</v>
      </c>
      <c r="E11" s="244" t="s">
        <v>21</v>
      </c>
      <c r="F11" s="244" t="s">
        <v>22</v>
      </c>
      <c r="G11" s="244" t="s">
        <v>23</v>
      </c>
      <c r="H11" s="244" t="s">
        <v>24</v>
      </c>
      <c r="I11" s="244" t="s">
        <v>25</v>
      </c>
      <c r="J11" s="244" t="s">
        <v>26</v>
      </c>
      <c r="K11" s="244" t="s">
        <v>27</v>
      </c>
    </row>
    <row r="12" spans="1:11" ht="15" customHeight="1" outlineLevel="1">
      <c r="A12" s="7" t="s">
        <v>28</v>
      </c>
      <c r="B12" s="242">
        <v>42369</v>
      </c>
      <c r="C12" s="242">
        <v>42735</v>
      </c>
      <c r="D12" s="242">
        <v>43100</v>
      </c>
      <c r="E12" s="242">
        <v>43465</v>
      </c>
      <c r="F12" s="242">
        <v>43830</v>
      </c>
      <c r="G12" s="242">
        <v>44196</v>
      </c>
      <c r="H12" s="242">
        <v>44561</v>
      </c>
      <c r="I12" s="242">
        <v>44926</v>
      </c>
      <c r="J12" s="242">
        <v>45291</v>
      </c>
      <c r="K12" s="242">
        <v>45657</v>
      </c>
    </row>
    <row r="13" spans="1:11" ht="15" customHeight="1" outlineLevel="1">
      <c r="A13" s="7" t="s">
        <v>29</v>
      </c>
      <c r="B13" s="242">
        <v>42368</v>
      </c>
      <c r="C13" s="242">
        <v>42734</v>
      </c>
      <c r="D13" s="242">
        <v>43464</v>
      </c>
      <c r="E13" s="242">
        <v>43464</v>
      </c>
      <c r="F13" s="242">
        <v>43829</v>
      </c>
      <c r="G13" s="242">
        <v>44195</v>
      </c>
      <c r="H13" s="242">
        <v>44560</v>
      </c>
      <c r="I13" s="242">
        <v>44925</v>
      </c>
      <c r="J13" s="242">
        <v>45290</v>
      </c>
      <c r="K13" s="242">
        <v>45656</v>
      </c>
    </row>
    <row r="14" spans="1:11" ht="15" customHeight="1" outlineLevel="1">
      <c r="A14" s="7" t="s">
        <v>30</v>
      </c>
      <c r="B14" s="243" t="s">
        <v>31</v>
      </c>
      <c r="C14" s="243" t="s">
        <v>31</v>
      </c>
      <c r="D14" s="243" t="s">
        <v>31</v>
      </c>
      <c r="E14" s="243" t="s">
        <v>31</v>
      </c>
      <c r="F14" s="243" t="s">
        <v>31</v>
      </c>
      <c r="G14" s="243" t="s">
        <v>31</v>
      </c>
      <c r="H14" s="243" t="s">
        <v>31</v>
      </c>
      <c r="I14" s="243" t="s">
        <v>31</v>
      </c>
      <c r="J14" s="243" t="s">
        <v>31</v>
      </c>
      <c r="K14" s="243" t="s">
        <v>31</v>
      </c>
    </row>
    <row r="15" spans="1:11" ht="15" customHeight="1" outlineLevel="1">
      <c r="A15" s="7" t="s">
        <v>32</v>
      </c>
      <c r="B15" s="243" t="s">
        <v>269</v>
      </c>
      <c r="C15" s="243" t="s">
        <v>269</v>
      </c>
      <c r="D15" s="243" t="s">
        <v>269</v>
      </c>
      <c r="E15" s="243" t="s">
        <v>269</v>
      </c>
      <c r="F15" s="243" t="s">
        <v>269</v>
      </c>
      <c r="G15" s="243" t="s">
        <v>269</v>
      </c>
      <c r="H15" s="243" t="s">
        <v>269</v>
      </c>
      <c r="I15" s="243" t="s">
        <v>269</v>
      </c>
      <c r="J15" s="243" t="s">
        <v>269</v>
      </c>
      <c r="K15" s="243" t="s">
        <v>269</v>
      </c>
    </row>
    <row r="17" spans="1:11">
      <c r="A17" s="8" t="s">
        <v>270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>
      <c r="A18" s="8" t="s">
        <v>35</v>
      </c>
      <c r="B18" s="9" t="s">
        <v>36</v>
      </c>
      <c r="C18" s="9" t="s">
        <v>37</v>
      </c>
      <c r="D18" s="9" t="s">
        <v>38</v>
      </c>
      <c r="E18" s="9" t="s">
        <v>39</v>
      </c>
      <c r="F18" s="9" t="s">
        <v>40</v>
      </c>
      <c r="G18" s="9" t="s">
        <v>41</v>
      </c>
      <c r="H18" s="9" t="s">
        <v>42</v>
      </c>
      <c r="I18" s="9" t="s">
        <v>43</v>
      </c>
      <c r="J18" s="9" t="s">
        <v>44</v>
      </c>
      <c r="K18" s="9" t="s">
        <v>45</v>
      </c>
    </row>
    <row r="19" spans="1:11" ht="15" customHeight="1">
      <c r="A19" s="10" t="s">
        <v>271</v>
      </c>
      <c r="B19" s="11">
        <v>10.1</v>
      </c>
      <c r="C19" s="11">
        <v>21.08</v>
      </c>
      <c r="D19" s="15">
        <v>137.86000000000001</v>
      </c>
      <c r="E19" s="20">
        <v>-17.8</v>
      </c>
      <c r="F19" s="11">
        <v>25.15</v>
      </c>
      <c r="G19" s="11">
        <v>37.56</v>
      </c>
      <c r="H19" s="11">
        <v>34.200000000000003</v>
      </c>
      <c r="I19" s="11">
        <v>3.88</v>
      </c>
      <c r="J19" s="11">
        <v>22.33</v>
      </c>
      <c r="K19" s="11">
        <v>8.76</v>
      </c>
    </row>
    <row r="20" spans="1:11" ht="15" customHeight="1">
      <c r="A20" s="10" t="s">
        <v>185</v>
      </c>
      <c r="B20" s="12"/>
      <c r="C20" s="12"/>
      <c r="D20" s="12"/>
      <c r="E20" s="12"/>
      <c r="F20" s="11">
        <v>13.44</v>
      </c>
      <c r="G20" s="11">
        <v>11.26</v>
      </c>
      <c r="H20" s="11">
        <v>12.12</v>
      </c>
      <c r="I20" s="11">
        <v>11.97</v>
      </c>
      <c r="J20" s="11">
        <v>11.12</v>
      </c>
      <c r="K20" s="11">
        <v>9.9499999999999993</v>
      </c>
    </row>
    <row r="21" spans="1:11" ht="15" customHeight="1">
      <c r="A21" s="10" t="s">
        <v>186</v>
      </c>
      <c r="B21" s="11">
        <v>7.02</v>
      </c>
      <c r="C21" s="11">
        <v>7.23</v>
      </c>
      <c r="D21" s="11">
        <v>7.26</v>
      </c>
      <c r="E21" s="11">
        <v>8.09</v>
      </c>
      <c r="F21" s="11">
        <v>7.84</v>
      </c>
      <c r="G21" s="11">
        <v>5.73</v>
      </c>
      <c r="H21" s="11">
        <v>5.45</v>
      </c>
      <c r="I21" s="11">
        <v>6.56</v>
      </c>
      <c r="J21" s="11">
        <v>6.1</v>
      </c>
      <c r="K21" s="11">
        <v>4.55</v>
      </c>
    </row>
    <row r="22" spans="1:11" ht="15" customHeight="1">
      <c r="A22" s="10" t="s">
        <v>184</v>
      </c>
      <c r="B22" s="11">
        <v>33.04</v>
      </c>
      <c r="C22" s="11">
        <v>26.2</v>
      </c>
      <c r="D22" s="11">
        <v>29.18</v>
      </c>
      <c r="E22" s="11">
        <v>41.03</v>
      </c>
      <c r="F22" s="11">
        <v>30</v>
      </c>
      <c r="G22" s="11">
        <v>24.79</v>
      </c>
      <c r="H22" s="11">
        <v>29.02</v>
      </c>
      <c r="I22" s="11">
        <v>41</v>
      </c>
      <c r="J22" s="11">
        <v>40.72</v>
      </c>
      <c r="K22" s="11">
        <v>35.92</v>
      </c>
    </row>
    <row r="23" spans="1:11" ht="15" customHeight="1">
      <c r="A23" s="10" t="s">
        <v>272</v>
      </c>
      <c r="B23" s="11">
        <v>0.32</v>
      </c>
      <c r="C23" s="20">
        <v>-0.26</v>
      </c>
      <c r="D23" s="11">
        <v>0.9</v>
      </c>
      <c r="E23" s="11">
        <v>0.69</v>
      </c>
      <c r="F23" s="12">
        <v>0</v>
      </c>
      <c r="G23" s="12"/>
      <c r="H23" s="12"/>
      <c r="I23" s="12"/>
      <c r="J23" s="12"/>
      <c r="K23" s="12"/>
    </row>
    <row r="24" spans="1:11" ht="15" customHeight="1">
      <c r="A24" s="10" t="s">
        <v>197</v>
      </c>
      <c r="B24" s="12"/>
      <c r="C24" s="12"/>
      <c r="D24" s="12"/>
      <c r="E24" s="12"/>
      <c r="F24" s="11">
        <v>2.89</v>
      </c>
      <c r="G24" s="11">
        <v>2.56</v>
      </c>
      <c r="H24" s="11">
        <v>2.2200000000000002</v>
      </c>
      <c r="I24" s="11">
        <v>1.91</v>
      </c>
      <c r="J24" s="11">
        <v>1.22</v>
      </c>
      <c r="K24" s="11">
        <v>1.19</v>
      </c>
    </row>
    <row r="25" spans="1:11" ht="15" customHeight="1">
      <c r="A25" s="10" t="s">
        <v>273</v>
      </c>
      <c r="B25" s="20">
        <v>-0.02</v>
      </c>
      <c r="C25" s="20">
        <v>-0.13</v>
      </c>
      <c r="D25" s="12"/>
      <c r="E25" s="12"/>
      <c r="F25" s="12"/>
      <c r="G25" s="12"/>
      <c r="H25" s="12"/>
      <c r="I25" s="12"/>
      <c r="J25" s="12"/>
      <c r="K25" s="12"/>
    </row>
    <row r="26" spans="1:11" ht="15" customHeight="1">
      <c r="A26" s="10" t="s">
        <v>274</v>
      </c>
      <c r="B26" s="11">
        <v>0.53</v>
      </c>
      <c r="C26" s="11">
        <v>0.52</v>
      </c>
      <c r="D26" s="11">
        <v>0.28999999999999998</v>
      </c>
      <c r="E26" s="12">
        <v>0</v>
      </c>
      <c r="F26" s="12"/>
      <c r="G26" s="12"/>
      <c r="H26" s="12"/>
      <c r="I26" s="12"/>
      <c r="J26" s="12"/>
      <c r="K26" s="12"/>
    </row>
    <row r="27" spans="1:11" ht="15" customHeight="1">
      <c r="A27" s="10" t="s">
        <v>275</v>
      </c>
      <c r="B27" s="11">
        <v>11.25</v>
      </c>
      <c r="C27" s="11">
        <v>4.55</v>
      </c>
      <c r="D27" s="11">
        <v>3.63</v>
      </c>
      <c r="E27" s="11">
        <v>6.7</v>
      </c>
      <c r="F27" s="11">
        <v>6.57</v>
      </c>
      <c r="G27" s="11">
        <v>4.12</v>
      </c>
      <c r="H27" s="11">
        <v>4.13</v>
      </c>
      <c r="I27" s="11">
        <v>5.28</v>
      </c>
      <c r="J27" s="11">
        <v>23.88</v>
      </c>
      <c r="K27" s="11">
        <v>17.98</v>
      </c>
    </row>
    <row r="28" spans="1:11" ht="15" customHeight="1">
      <c r="A28" s="10" t="s">
        <v>180</v>
      </c>
      <c r="B28" s="11">
        <v>5.95</v>
      </c>
      <c r="C28" s="11">
        <v>7.12</v>
      </c>
      <c r="D28" s="11">
        <v>7.82</v>
      </c>
      <c r="E28" s="11">
        <v>9.4600000000000009</v>
      </c>
      <c r="F28" s="11">
        <v>9.84</v>
      </c>
      <c r="G28" s="11">
        <v>15.4</v>
      </c>
      <c r="H28" s="11">
        <v>23.94</v>
      </c>
      <c r="I28" s="11">
        <v>29.38</v>
      </c>
      <c r="J28" s="11">
        <v>23.07</v>
      </c>
      <c r="K28" s="11">
        <v>23.67</v>
      </c>
    </row>
    <row r="29" spans="1:11" ht="15" customHeight="1">
      <c r="A29" s="10" t="s">
        <v>276</v>
      </c>
      <c r="B29" s="20">
        <v>-1.68</v>
      </c>
      <c r="C29" s="11">
        <v>1.79</v>
      </c>
      <c r="D29" s="11">
        <v>0.85</v>
      </c>
      <c r="E29" s="20">
        <v>-0.98</v>
      </c>
      <c r="F29" s="11">
        <v>0.99</v>
      </c>
      <c r="G29" s="11">
        <v>0.17</v>
      </c>
      <c r="H29" s="11">
        <v>1.1000000000000001</v>
      </c>
      <c r="I29" s="20">
        <v>-3.85</v>
      </c>
      <c r="J29" s="11">
        <v>1.62</v>
      </c>
      <c r="K29" s="20">
        <v>-0.34</v>
      </c>
    </row>
    <row r="30" spans="1:11" ht="15" customHeight="1">
      <c r="A30" s="10" t="s">
        <v>192</v>
      </c>
      <c r="B30" s="12"/>
      <c r="C30" s="12"/>
      <c r="D30" s="22">
        <v>-115.18</v>
      </c>
      <c r="E30" s="20">
        <v>-0.04</v>
      </c>
      <c r="F30" s="20">
        <v>-0.28000000000000003</v>
      </c>
      <c r="G30" s="20">
        <v>-0.02</v>
      </c>
      <c r="H30" s="20">
        <v>-2.93</v>
      </c>
      <c r="I30" s="11">
        <v>0.16</v>
      </c>
      <c r="J30" s="11">
        <v>0.3</v>
      </c>
      <c r="K30" s="20">
        <v>-0.45</v>
      </c>
    </row>
    <row r="31" spans="1:11" ht="15" customHeight="1">
      <c r="A31" s="10" t="s">
        <v>277</v>
      </c>
      <c r="B31" s="11">
        <v>0.42</v>
      </c>
      <c r="C31" s="11">
        <v>0.12</v>
      </c>
      <c r="D31" s="11">
        <v>0.86</v>
      </c>
      <c r="E31" s="11">
        <v>1.62</v>
      </c>
      <c r="F31" s="11">
        <v>0.27</v>
      </c>
      <c r="G31" s="11">
        <v>0.52</v>
      </c>
      <c r="H31" s="20">
        <v>-0.25</v>
      </c>
      <c r="I31" s="11">
        <v>0.83</v>
      </c>
      <c r="J31" s="11">
        <v>0.45</v>
      </c>
      <c r="K31" s="20">
        <v>-2.02</v>
      </c>
    </row>
    <row r="32" spans="1:11" ht="15" customHeight="1">
      <c r="A32" s="10" t="s">
        <v>278</v>
      </c>
      <c r="B32" s="11">
        <v>0.21</v>
      </c>
      <c r="C32" s="20">
        <v>-3.96</v>
      </c>
      <c r="D32" s="20">
        <v>-1.24</v>
      </c>
      <c r="E32" s="11">
        <v>4.82</v>
      </c>
      <c r="F32" s="20">
        <v>-6.84</v>
      </c>
      <c r="G32" s="20">
        <v>-3.99</v>
      </c>
      <c r="H32" s="20">
        <v>-10.25</v>
      </c>
      <c r="I32" s="11">
        <v>8.74</v>
      </c>
      <c r="J32" s="11">
        <v>8.6</v>
      </c>
      <c r="K32" s="20">
        <v>-9.94</v>
      </c>
    </row>
    <row r="33" spans="1:11" ht="15" customHeight="1">
      <c r="A33" s="10" t="s">
        <v>279</v>
      </c>
      <c r="B33" s="12"/>
      <c r="C33" s="11">
        <v>12.5</v>
      </c>
      <c r="D33" s="12"/>
      <c r="E33" s="11">
        <v>13.7</v>
      </c>
      <c r="F33" s="11">
        <v>7.0000000000000007E-2</v>
      </c>
      <c r="G33" s="11">
        <v>0.04</v>
      </c>
      <c r="H33" s="12">
        <v>0</v>
      </c>
      <c r="I33" s="12"/>
      <c r="J33" s="12"/>
      <c r="K33" s="12"/>
    </row>
    <row r="34" spans="1:11" ht="15" customHeight="1">
      <c r="A34" s="10" t="s">
        <v>193</v>
      </c>
      <c r="B34" s="12"/>
      <c r="C34" s="12"/>
      <c r="D34" s="12"/>
      <c r="E34" s="12"/>
      <c r="F34" s="11">
        <v>6.4</v>
      </c>
      <c r="G34" s="12">
        <v>0</v>
      </c>
      <c r="H34" s="12"/>
      <c r="I34" s="12"/>
      <c r="J34" s="12"/>
      <c r="K34" s="12"/>
    </row>
    <row r="35" spans="1:11" ht="15" customHeight="1">
      <c r="A35" s="10" t="s">
        <v>188</v>
      </c>
      <c r="B35" s="11">
        <v>1.27</v>
      </c>
      <c r="C35" s="11">
        <v>2.62</v>
      </c>
      <c r="D35" s="11">
        <v>2.42</v>
      </c>
      <c r="E35" s="12">
        <v>0</v>
      </c>
      <c r="F35" s="12"/>
      <c r="G35" s="20">
        <v>-0.46</v>
      </c>
      <c r="H35" s="20">
        <v>-1.19</v>
      </c>
      <c r="I35" s="20">
        <v>-3.01</v>
      </c>
      <c r="J35" s="20">
        <v>-3.15</v>
      </c>
      <c r="K35" s="20">
        <v>-2.95</v>
      </c>
    </row>
    <row r="36" spans="1:11" ht="15" customHeight="1">
      <c r="A36" s="10" t="s">
        <v>280</v>
      </c>
      <c r="B36" s="20">
        <v>-1.68</v>
      </c>
      <c r="C36" s="11">
        <v>11.74</v>
      </c>
      <c r="D36" s="11">
        <v>9.41</v>
      </c>
      <c r="E36" s="20">
        <v>-3.83</v>
      </c>
      <c r="F36" s="20">
        <v>-23.11</v>
      </c>
      <c r="G36" s="20">
        <v>-1.91</v>
      </c>
      <c r="H36" s="20">
        <v>-18.829999999999998</v>
      </c>
      <c r="I36" s="11">
        <v>0.18</v>
      </c>
      <c r="J36" s="20">
        <v>-24.12</v>
      </c>
      <c r="K36" s="11">
        <v>11.7</v>
      </c>
    </row>
    <row r="37" spans="1:11" ht="15" customHeight="1">
      <c r="A37" s="10" t="s">
        <v>281</v>
      </c>
      <c r="B37" s="12"/>
      <c r="C37" s="11">
        <v>81.180000000000007</v>
      </c>
      <c r="D37" s="11">
        <v>84.08</v>
      </c>
      <c r="E37" s="11">
        <v>63.45</v>
      </c>
      <c r="F37" s="11">
        <v>73.23</v>
      </c>
      <c r="G37" s="11">
        <v>94.86</v>
      </c>
      <c r="H37" s="11">
        <v>78.72</v>
      </c>
      <c r="I37" s="15">
        <v>104.25</v>
      </c>
      <c r="J37" s="15">
        <v>107.58</v>
      </c>
      <c r="K37" s="15">
        <v>122.06</v>
      </c>
    </row>
    <row r="38" spans="1:11" ht="15" customHeight="1">
      <c r="A38" s="10" t="s">
        <v>282</v>
      </c>
      <c r="B38" s="20">
        <v>-7.2</v>
      </c>
      <c r="C38" s="20">
        <v>-4.25</v>
      </c>
      <c r="D38" s="20">
        <v>-4.3099999999999996</v>
      </c>
      <c r="E38" s="20">
        <v>-5.37</v>
      </c>
      <c r="F38" s="20">
        <v>-5.04</v>
      </c>
      <c r="G38" s="20">
        <v>-3.55</v>
      </c>
      <c r="H38" s="20">
        <v>-3.61</v>
      </c>
      <c r="I38" s="20">
        <v>-11.73</v>
      </c>
      <c r="J38" s="20">
        <v>-20.27</v>
      </c>
      <c r="K38" s="20">
        <v>-18.059999999999999</v>
      </c>
    </row>
    <row r="39" spans="1:11" ht="15" customHeight="1">
      <c r="A39" s="10" t="s">
        <v>283</v>
      </c>
      <c r="B39" s="12"/>
      <c r="C39" s="12"/>
      <c r="D39" s="12"/>
      <c r="E39" s="12"/>
      <c r="F39" s="20">
        <v>-2.88</v>
      </c>
      <c r="G39" s="20">
        <v>-2.56</v>
      </c>
      <c r="H39" s="20">
        <v>-2.2200000000000002</v>
      </c>
      <c r="I39" s="20">
        <v>-1.91</v>
      </c>
      <c r="J39" s="20">
        <v>-1.22</v>
      </c>
      <c r="K39" s="20">
        <v>-1.19</v>
      </c>
    </row>
    <row r="40" spans="1:11" ht="15" customHeight="1">
      <c r="A40" s="10" t="s">
        <v>284</v>
      </c>
      <c r="B40" s="20">
        <v>-8.61</v>
      </c>
      <c r="C40" s="20">
        <v>-10.41</v>
      </c>
      <c r="D40" s="20">
        <v>-23.77</v>
      </c>
      <c r="E40" s="20">
        <v>-13.52</v>
      </c>
      <c r="F40" s="20">
        <v>-15.45</v>
      </c>
      <c r="G40" s="20">
        <v>-19.05</v>
      </c>
      <c r="H40" s="20">
        <v>-19.55</v>
      </c>
      <c r="I40" s="20">
        <v>-14.83</v>
      </c>
      <c r="J40" s="20">
        <v>-14.89</v>
      </c>
      <c r="K40" s="20">
        <v>-23.59</v>
      </c>
    </row>
    <row r="41" spans="1:11" ht="15" customHeight="1">
      <c r="A41" s="10" t="s">
        <v>285</v>
      </c>
      <c r="B41" s="11">
        <v>0.71</v>
      </c>
      <c r="C41" s="11">
        <v>0.71</v>
      </c>
      <c r="D41" s="11">
        <v>1.84</v>
      </c>
      <c r="E41" s="11">
        <v>4.93</v>
      </c>
      <c r="F41" s="11">
        <v>2.58</v>
      </c>
      <c r="G41" s="11">
        <v>2.6</v>
      </c>
      <c r="H41" s="11">
        <v>2.96</v>
      </c>
      <c r="I41" s="11">
        <v>1.31</v>
      </c>
      <c r="J41" s="11">
        <v>0.24</v>
      </c>
      <c r="K41" s="11">
        <v>0.7</v>
      </c>
    </row>
    <row r="42" spans="1:11" ht="15" customHeight="1">
      <c r="A42" s="10" t="s">
        <v>192</v>
      </c>
      <c r="B42" s="20">
        <v>-3.48</v>
      </c>
      <c r="C42" s="20">
        <v>-9.93</v>
      </c>
      <c r="D42" s="12"/>
      <c r="E42" s="12"/>
      <c r="F42" s="12"/>
      <c r="G42" s="12"/>
      <c r="H42" s="12"/>
      <c r="I42" s="12"/>
      <c r="J42" s="12"/>
      <c r="K42" s="12"/>
    </row>
    <row r="43" spans="1:11" ht="15" customHeight="1">
      <c r="A43" s="10" t="s">
        <v>286</v>
      </c>
      <c r="B43" s="12"/>
      <c r="C43" s="12"/>
      <c r="D43" s="12"/>
      <c r="E43" s="12"/>
      <c r="F43" s="12"/>
      <c r="G43" s="11">
        <v>5.16</v>
      </c>
      <c r="H43" s="12">
        <v>0</v>
      </c>
      <c r="I43" s="12"/>
      <c r="J43" s="12"/>
      <c r="K43" s="12"/>
    </row>
    <row r="44" spans="1:11" ht="15" customHeight="1">
      <c r="A44" s="10" t="s">
        <v>287</v>
      </c>
      <c r="B44" s="12"/>
      <c r="C44" s="12"/>
      <c r="D44" s="12"/>
      <c r="E44" s="12"/>
      <c r="F44" s="12"/>
      <c r="G44" s="20">
        <v>-0.48</v>
      </c>
      <c r="H44" s="12">
        <v>0</v>
      </c>
      <c r="I44" s="12"/>
      <c r="J44" s="12"/>
      <c r="K44" s="12"/>
    </row>
    <row r="45" spans="1:11" ht="15" customHeight="1">
      <c r="A45" s="10" t="s">
        <v>288</v>
      </c>
      <c r="B45" s="12"/>
      <c r="C45" s="12"/>
      <c r="D45" s="12"/>
      <c r="E45" s="12"/>
      <c r="F45" s="12"/>
      <c r="G45" s="20">
        <v>-5.58</v>
      </c>
      <c r="H45" s="12">
        <v>0</v>
      </c>
      <c r="I45" s="12"/>
      <c r="J45" s="12"/>
      <c r="K45" s="12"/>
    </row>
    <row r="46" spans="1:11" ht="15" customHeight="1">
      <c r="A46" s="10" t="s">
        <v>289</v>
      </c>
      <c r="B46" s="12"/>
      <c r="C46" s="12"/>
      <c r="D46" s="12"/>
      <c r="E46" s="12"/>
      <c r="F46" s="12"/>
      <c r="G46" s="12"/>
      <c r="H46" s="12"/>
      <c r="I46" s="11">
        <v>6.91</v>
      </c>
      <c r="J46" s="20">
        <v>-0.56000000000000005</v>
      </c>
      <c r="K46" s="20">
        <v>-0.32</v>
      </c>
    </row>
    <row r="47" spans="1:11" ht="15" customHeight="1">
      <c r="A47" s="10" t="s">
        <v>111</v>
      </c>
      <c r="B47" s="12"/>
      <c r="C47" s="12"/>
      <c r="D47" s="12"/>
      <c r="E47" s="12"/>
      <c r="F47" s="12"/>
      <c r="G47" s="12"/>
      <c r="H47" s="12"/>
      <c r="I47" s="11">
        <v>3.01</v>
      </c>
      <c r="J47" s="20">
        <v>-2.99</v>
      </c>
      <c r="K47" s="20">
        <v>-0.2</v>
      </c>
    </row>
    <row r="48" spans="1:11" ht="15" customHeight="1">
      <c r="A48" s="10" t="s">
        <v>110</v>
      </c>
      <c r="B48" s="12"/>
      <c r="C48" s="12"/>
      <c r="D48" s="12"/>
      <c r="E48" s="12"/>
      <c r="F48" s="12"/>
      <c r="G48" s="12"/>
      <c r="H48" s="12"/>
      <c r="I48" s="20">
        <v>-3.38</v>
      </c>
      <c r="J48" s="20">
        <v>-1.61</v>
      </c>
      <c r="K48" s="20">
        <v>-1.67</v>
      </c>
    </row>
    <row r="49" spans="1:11" ht="15" customHeight="1">
      <c r="A49" s="10" t="s">
        <v>290</v>
      </c>
      <c r="B49" s="12"/>
      <c r="C49" s="12"/>
      <c r="D49" s="12"/>
      <c r="E49" s="12"/>
      <c r="F49" s="12"/>
      <c r="G49" s="12"/>
      <c r="H49" s="12"/>
      <c r="I49" s="20">
        <v>-5.3</v>
      </c>
      <c r="J49" s="11">
        <v>0.59</v>
      </c>
      <c r="K49" s="11">
        <v>19.25</v>
      </c>
    </row>
    <row r="50" spans="1:11" ht="15" customHeight="1">
      <c r="A50" s="10" t="s">
        <v>291</v>
      </c>
      <c r="B50" s="12"/>
      <c r="C50" s="12"/>
      <c r="D50" s="12"/>
      <c r="E50" s="12"/>
      <c r="F50" s="12"/>
      <c r="G50" s="12"/>
      <c r="H50" s="12"/>
      <c r="I50" s="12"/>
      <c r="J50" s="12"/>
      <c r="K50" s="11">
        <v>7</v>
      </c>
    </row>
    <row r="51" spans="1:11" ht="15" customHeight="1">
      <c r="A51" s="18" t="s">
        <v>292</v>
      </c>
      <c r="B51" s="23">
        <v>48.14</v>
      </c>
      <c r="C51" s="23">
        <v>67.239999999999995</v>
      </c>
      <c r="D51" s="23">
        <v>57.84</v>
      </c>
      <c r="E51" s="23">
        <v>49.49</v>
      </c>
      <c r="F51" s="23">
        <v>52.43</v>
      </c>
      <c r="G51" s="23">
        <v>72.3</v>
      </c>
      <c r="H51" s="23">
        <v>56.31</v>
      </c>
      <c r="I51" s="23">
        <v>77.08</v>
      </c>
      <c r="J51" s="23">
        <v>71.430000000000007</v>
      </c>
      <c r="K51" s="23">
        <v>79.92</v>
      </c>
    </row>
    <row r="52" spans="1:11" ht="15" customHeight="1">
      <c r="A52" s="10" t="s">
        <v>293</v>
      </c>
      <c r="B52" s="12">
        <v>0</v>
      </c>
      <c r="C52" s="12"/>
      <c r="D52" s="20">
        <v>-6.72</v>
      </c>
      <c r="E52" s="20">
        <v>-3.9</v>
      </c>
      <c r="F52" s="20">
        <v>-0.71</v>
      </c>
      <c r="G52" s="20">
        <v>-0.36</v>
      </c>
      <c r="H52" s="20">
        <v>-4.16</v>
      </c>
      <c r="I52" s="20">
        <v>-0.86</v>
      </c>
      <c r="J52" s="20">
        <v>-0.84</v>
      </c>
      <c r="K52" s="20">
        <v>-0.88</v>
      </c>
    </row>
    <row r="53" spans="1:11" ht="15" customHeight="1">
      <c r="A53" s="10" t="s">
        <v>294</v>
      </c>
      <c r="B53" s="20">
        <v>-1.74</v>
      </c>
      <c r="C53" s="20">
        <v>-2.6</v>
      </c>
      <c r="D53" s="20">
        <v>-0.62</v>
      </c>
      <c r="E53" s="20">
        <v>-0.83</v>
      </c>
      <c r="F53" s="20">
        <v>-0.15</v>
      </c>
      <c r="G53" s="20">
        <v>-0.77</v>
      </c>
      <c r="H53" s="20">
        <v>-4.66</v>
      </c>
      <c r="I53" s="20">
        <v>-19.05</v>
      </c>
      <c r="J53" s="20">
        <v>-7.66</v>
      </c>
      <c r="K53" s="20">
        <v>-6.06</v>
      </c>
    </row>
    <row r="54" spans="1:11" ht="15" customHeight="1">
      <c r="A54" s="10" t="s">
        <v>295</v>
      </c>
      <c r="B54" s="20">
        <v>-12.32</v>
      </c>
      <c r="C54" s="20">
        <v>-4.2300000000000004</v>
      </c>
      <c r="D54" s="20">
        <v>-11.79</v>
      </c>
      <c r="E54" s="20">
        <v>-11.54</v>
      </c>
      <c r="F54" s="20">
        <v>-5.79</v>
      </c>
      <c r="G54" s="20">
        <v>-3.58</v>
      </c>
      <c r="H54" s="20">
        <v>-5.96</v>
      </c>
      <c r="I54" s="20">
        <v>-5.43</v>
      </c>
      <c r="J54" s="20">
        <v>-4.83</v>
      </c>
      <c r="K54" s="20">
        <v>-1.39</v>
      </c>
    </row>
    <row r="55" spans="1:11" ht="15" customHeight="1">
      <c r="A55" s="10" t="s">
        <v>296</v>
      </c>
      <c r="B55" s="11">
        <v>0.16</v>
      </c>
      <c r="C55" s="11">
        <v>0.48</v>
      </c>
      <c r="D55" s="11">
        <v>0.45</v>
      </c>
      <c r="E55" s="11">
        <v>0.27</v>
      </c>
      <c r="F55" s="11">
        <v>0.15</v>
      </c>
      <c r="G55" s="11">
        <v>0.1</v>
      </c>
      <c r="H55" s="12">
        <v>0</v>
      </c>
      <c r="I55" s="12"/>
      <c r="J55" s="12"/>
      <c r="K55" s="12"/>
    </row>
    <row r="56" spans="1:11" ht="15" customHeight="1">
      <c r="A56" s="10" t="s">
        <v>297</v>
      </c>
      <c r="B56" s="12"/>
      <c r="C56" s="12"/>
      <c r="D56" s="12">
        <v>0</v>
      </c>
      <c r="E56" s="11">
        <v>54.17</v>
      </c>
      <c r="F56" s="11">
        <v>0.55000000000000004</v>
      </c>
      <c r="G56" s="12">
        <v>0</v>
      </c>
      <c r="H56" s="12"/>
      <c r="I56" s="12"/>
      <c r="J56" s="12"/>
      <c r="K56" s="12"/>
    </row>
    <row r="57" spans="1:11" ht="15" customHeight="1">
      <c r="A57" s="10" t="s">
        <v>298</v>
      </c>
      <c r="B57" s="20">
        <v>-12.96</v>
      </c>
      <c r="C57" s="20">
        <v>-1.71</v>
      </c>
      <c r="D57" s="20">
        <v>-62.91</v>
      </c>
      <c r="E57" s="20">
        <v>-27.19</v>
      </c>
      <c r="F57" s="20">
        <v>-12.48</v>
      </c>
      <c r="G57" s="20">
        <v>-12.49</v>
      </c>
      <c r="H57" s="22">
        <v>-358.85</v>
      </c>
      <c r="I57" s="20">
        <v>-29.85</v>
      </c>
      <c r="J57" s="20">
        <v>-25.09</v>
      </c>
      <c r="K57" s="12">
        <v>0</v>
      </c>
    </row>
    <row r="58" spans="1:11" ht="15" customHeight="1">
      <c r="A58" s="10" t="s">
        <v>299</v>
      </c>
      <c r="B58" s="12"/>
      <c r="C58" s="12"/>
      <c r="D58" s="12"/>
      <c r="E58" s="12"/>
      <c r="F58" s="12"/>
      <c r="G58" s="20">
        <v>-3.79</v>
      </c>
      <c r="H58" s="12">
        <v>0</v>
      </c>
      <c r="I58" s="12"/>
      <c r="J58" s="12"/>
      <c r="K58" s="12"/>
    </row>
    <row r="59" spans="1:11" ht="15" customHeight="1">
      <c r="A59" s="10" t="s">
        <v>300</v>
      </c>
      <c r="B59" s="12"/>
      <c r="C59" s="12"/>
      <c r="D59" s="12"/>
      <c r="E59" s="12"/>
      <c r="F59" s="12"/>
      <c r="G59" s="12"/>
      <c r="H59" s="11">
        <v>0.33</v>
      </c>
      <c r="I59" s="11">
        <v>0.02</v>
      </c>
      <c r="J59" s="11">
        <v>0.03</v>
      </c>
      <c r="K59" s="11">
        <v>0.09</v>
      </c>
    </row>
    <row r="60" spans="1:11" ht="15" customHeight="1">
      <c r="A60" s="10" t="s">
        <v>301</v>
      </c>
      <c r="B60" s="12"/>
      <c r="C60" s="12"/>
      <c r="D60" s="12"/>
      <c r="E60" s="12"/>
      <c r="F60" s="12"/>
      <c r="G60" s="12"/>
      <c r="H60" s="12"/>
      <c r="I60" s="11">
        <v>1.1100000000000001</v>
      </c>
      <c r="J60" s="11">
        <v>3.47</v>
      </c>
      <c r="K60" s="12">
        <v>0</v>
      </c>
    </row>
    <row r="61" spans="1:11" ht="15" customHeight="1">
      <c r="A61" s="10" t="s">
        <v>302</v>
      </c>
      <c r="B61" s="12"/>
      <c r="C61" s="12"/>
      <c r="D61" s="12"/>
      <c r="E61" s="12"/>
      <c r="F61" s="12"/>
      <c r="G61" s="12"/>
      <c r="H61" s="12"/>
      <c r="I61" s="12"/>
      <c r="J61" s="12"/>
      <c r="K61" s="11">
        <v>11.02</v>
      </c>
    </row>
    <row r="62" spans="1:11" ht="15" customHeight="1">
      <c r="A62" s="18" t="s">
        <v>303</v>
      </c>
      <c r="B62" s="25">
        <v>-26.86</v>
      </c>
      <c r="C62" s="25">
        <v>-8.06</v>
      </c>
      <c r="D62" s="25">
        <v>-81.59</v>
      </c>
      <c r="E62" s="23">
        <v>10.98</v>
      </c>
      <c r="F62" s="25">
        <v>-18.43</v>
      </c>
      <c r="G62" s="25">
        <v>-20.9</v>
      </c>
      <c r="H62" s="28">
        <v>-373.31</v>
      </c>
      <c r="I62" s="25">
        <v>-54.06</v>
      </c>
      <c r="J62" s="25">
        <v>-34.92</v>
      </c>
      <c r="K62" s="23">
        <v>2.77</v>
      </c>
    </row>
    <row r="63" spans="1:11" ht="15" customHeight="1">
      <c r="A63" s="10" t="s">
        <v>304</v>
      </c>
      <c r="B63" s="11">
        <v>4.01</v>
      </c>
      <c r="C63" s="11">
        <v>1.45</v>
      </c>
      <c r="D63" s="11">
        <v>3.91</v>
      </c>
      <c r="E63" s="11">
        <v>0.84</v>
      </c>
      <c r="F63" s="11">
        <v>6.88</v>
      </c>
      <c r="G63" s="11">
        <v>11.99</v>
      </c>
      <c r="H63" s="11">
        <v>13.81</v>
      </c>
      <c r="I63" s="11">
        <v>8.16</v>
      </c>
      <c r="J63" s="11">
        <v>10.42</v>
      </c>
      <c r="K63" s="11">
        <v>17.68</v>
      </c>
    </row>
    <row r="64" spans="1:11" ht="15" customHeight="1">
      <c r="A64" s="10" t="s">
        <v>305</v>
      </c>
      <c r="B64" s="20">
        <v>-0.19</v>
      </c>
      <c r="C64" s="20">
        <v>-2.06</v>
      </c>
      <c r="D64" s="20">
        <v>-0.88</v>
      </c>
      <c r="E64" s="12">
        <v>0</v>
      </c>
      <c r="F64" s="12"/>
      <c r="G64" s="12"/>
      <c r="H64" s="12"/>
      <c r="I64" s="12"/>
      <c r="J64" s="12"/>
      <c r="K64" s="12"/>
    </row>
    <row r="65" spans="1:11" ht="15" customHeight="1">
      <c r="A65" s="10" t="s">
        <v>306</v>
      </c>
      <c r="B65" s="20">
        <v>-1.27</v>
      </c>
      <c r="C65" s="20">
        <v>-0.09</v>
      </c>
      <c r="D65" s="12"/>
      <c r="E65" s="12"/>
      <c r="F65" s="12"/>
      <c r="G65" s="20">
        <v>-0.72</v>
      </c>
      <c r="H65" s="20">
        <v>-0.41</v>
      </c>
      <c r="I65" s="20">
        <v>-1.9</v>
      </c>
      <c r="J65" s="20">
        <v>-0.01</v>
      </c>
      <c r="K65" s="20">
        <v>-0.17</v>
      </c>
    </row>
    <row r="66" spans="1:11" ht="15" customHeight="1">
      <c r="A66" s="10" t="s">
        <v>307</v>
      </c>
      <c r="B66" s="11">
        <v>10</v>
      </c>
      <c r="C66" s="11">
        <v>6</v>
      </c>
      <c r="D66" s="11">
        <v>54.92</v>
      </c>
      <c r="E66" s="11">
        <v>51.28</v>
      </c>
      <c r="F66" s="11">
        <v>21.6</v>
      </c>
      <c r="G66" s="11">
        <v>38.14</v>
      </c>
      <c r="H66" s="15">
        <v>341.02</v>
      </c>
      <c r="I66" s="11">
        <v>84.5</v>
      </c>
      <c r="J66" s="11">
        <v>72.150000000000006</v>
      </c>
      <c r="K66" s="11">
        <v>34.43</v>
      </c>
    </row>
    <row r="67" spans="1:11" ht="15" customHeight="1">
      <c r="A67" s="10" t="s">
        <v>308</v>
      </c>
      <c r="B67" s="20">
        <v>-13.91</v>
      </c>
      <c r="C67" s="20">
        <v>-17.149999999999999</v>
      </c>
      <c r="D67" s="20">
        <v>-22.84</v>
      </c>
      <c r="E67" s="20">
        <v>-73.23</v>
      </c>
      <c r="F67" s="20">
        <v>-12.87</v>
      </c>
      <c r="G67" s="20">
        <v>-53.26</v>
      </c>
      <c r="H67" s="22">
        <v>-178.82</v>
      </c>
      <c r="I67" s="20">
        <v>-57.14</v>
      </c>
      <c r="J67" s="20">
        <v>-83.6</v>
      </c>
      <c r="K67" s="20">
        <v>-72.36</v>
      </c>
    </row>
    <row r="68" spans="1:11" ht="15" customHeight="1">
      <c r="A68" s="10" t="s">
        <v>309</v>
      </c>
      <c r="B68" s="20">
        <v>-16.489999999999998</v>
      </c>
      <c r="C68" s="20">
        <v>-18.55</v>
      </c>
      <c r="D68" s="20">
        <v>-21.81</v>
      </c>
      <c r="E68" s="20">
        <v>-18.8</v>
      </c>
      <c r="F68" s="20">
        <v>-19.2</v>
      </c>
      <c r="G68" s="20">
        <v>-21.86</v>
      </c>
      <c r="H68" s="20">
        <v>-21.56</v>
      </c>
      <c r="I68" s="20">
        <v>-24.7</v>
      </c>
      <c r="J68" s="20">
        <v>-26.58</v>
      </c>
      <c r="K68" s="20">
        <v>-24.73</v>
      </c>
    </row>
    <row r="69" spans="1:11" ht="15" customHeight="1">
      <c r="A69" s="10" t="s">
        <v>310</v>
      </c>
      <c r="B69" s="20">
        <v>-0.1</v>
      </c>
      <c r="C69" s="20">
        <v>-0.03</v>
      </c>
      <c r="D69" s="12"/>
      <c r="E69" s="12"/>
      <c r="F69" s="12"/>
      <c r="G69" s="12"/>
      <c r="H69" s="12"/>
      <c r="I69" s="12"/>
      <c r="J69" s="12"/>
      <c r="K69" s="12"/>
    </row>
    <row r="70" spans="1:11" ht="15" customHeight="1">
      <c r="A70" s="10" t="s">
        <v>311</v>
      </c>
      <c r="B70" s="20">
        <v>-3.11</v>
      </c>
      <c r="C70" s="20">
        <v>-3.59</v>
      </c>
      <c r="D70" s="20">
        <v>-3.59</v>
      </c>
      <c r="E70" s="20">
        <v>-3.06</v>
      </c>
      <c r="F70" s="20">
        <v>-5.35</v>
      </c>
      <c r="G70" s="20">
        <v>-3.61</v>
      </c>
      <c r="H70" s="20">
        <v>-6.31</v>
      </c>
      <c r="I70" s="20">
        <v>-4.6100000000000003</v>
      </c>
      <c r="J70" s="20">
        <v>-4.82</v>
      </c>
      <c r="K70" s="20">
        <v>-3.48</v>
      </c>
    </row>
    <row r="71" spans="1:11" ht="15" customHeight="1">
      <c r="A71" s="10" t="s">
        <v>312</v>
      </c>
      <c r="B71" s="12"/>
      <c r="C71" s="12"/>
      <c r="D71" s="12"/>
      <c r="E71" s="12"/>
      <c r="F71" s="20">
        <v>-11.84</v>
      </c>
      <c r="G71" s="20">
        <v>-11.96</v>
      </c>
      <c r="H71" s="20">
        <v>-12.07</v>
      </c>
      <c r="I71" s="20">
        <v>-14.98</v>
      </c>
      <c r="J71" s="20">
        <v>-15.09</v>
      </c>
      <c r="K71" s="20">
        <v>-15.94</v>
      </c>
    </row>
    <row r="72" spans="1:11" ht="15" customHeight="1">
      <c r="A72" s="10" t="s">
        <v>313</v>
      </c>
      <c r="B72" s="12"/>
      <c r="C72" s="12"/>
      <c r="D72" s="12"/>
      <c r="E72" s="12"/>
      <c r="F72" s="12"/>
      <c r="G72" s="12"/>
      <c r="H72" s="15">
        <v>164.77</v>
      </c>
      <c r="I72" s="12">
        <v>0</v>
      </c>
      <c r="J72" s="12"/>
      <c r="K72" s="12"/>
    </row>
    <row r="73" spans="1:11" ht="15" customHeight="1">
      <c r="A73" s="10" t="s">
        <v>314</v>
      </c>
      <c r="B73" s="12"/>
      <c r="C73" s="12"/>
      <c r="D73" s="12"/>
      <c r="E73" s="12"/>
      <c r="F73" s="12"/>
      <c r="G73" s="12"/>
      <c r="H73" s="12"/>
      <c r="I73" s="20">
        <v>-8</v>
      </c>
      <c r="J73" s="20">
        <v>-4.78</v>
      </c>
      <c r="K73" s="20">
        <v>-11.04</v>
      </c>
    </row>
    <row r="74" spans="1:11" ht="15" customHeight="1">
      <c r="A74" s="10" t="s">
        <v>315</v>
      </c>
      <c r="B74" s="12"/>
      <c r="C74" s="12"/>
      <c r="D74" s="12"/>
      <c r="E74" s="12"/>
      <c r="F74" s="12"/>
      <c r="G74" s="12"/>
      <c r="H74" s="12"/>
      <c r="I74" s="12"/>
      <c r="J74" s="11">
        <v>0.53</v>
      </c>
      <c r="K74" s="12">
        <v>0</v>
      </c>
    </row>
    <row r="75" spans="1:11" ht="15" customHeight="1">
      <c r="A75" s="18" t="s">
        <v>316</v>
      </c>
      <c r="B75" s="25">
        <v>-21.06</v>
      </c>
      <c r="C75" s="25">
        <v>-34.020000000000003</v>
      </c>
      <c r="D75" s="23">
        <v>9.7100000000000009</v>
      </c>
      <c r="E75" s="25">
        <v>-42.97</v>
      </c>
      <c r="F75" s="25">
        <v>-20.79</v>
      </c>
      <c r="G75" s="25">
        <v>-41.3</v>
      </c>
      <c r="H75" s="19">
        <v>300.43</v>
      </c>
      <c r="I75" s="25">
        <v>-18.66</v>
      </c>
      <c r="J75" s="25">
        <v>-51.78</v>
      </c>
      <c r="K75" s="25">
        <v>-75.62</v>
      </c>
    </row>
    <row r="76" spans="1:11" ht="15" customHeight="1">
      <c r="A76" s="10" t="s">
        <v>317</v>
      </c>
      <c r="B76" s="11">
        <v>1.94</v>
      </c>
      <c r="C76" s="20">
        <v>-1.0900000000000001</v>
      </c>
      <c r="D76" s="20">
        <v>-1.57</v>
      </c>
      <c r="E76" s="11">
        <v>3.17</v>
      </c>
      <c r="F76" s="20">
        <v>-1.68</v>
      </c>
      <c r="G76" s="20">
        <v>-0.72</v>
      </c>
      <c r="H76" s="20">
        <v>-1.79</v>
      </c>
      <c r="I76" s="20">
        <v>-0.37</v>
      </c>
      <c r="J76" s="11">
        <v>1.9</v>
      </c>
      <c r="K76" s="11">
        <v>1.63</v>
      </c>
    </row>
    <row r="77" spans="1:11" ht="15" customHeight="1">
      <c r="A77" s="10" t="s">
        <v>318</v>
      </c>
      <c r="B77" s="11">
        <v>17.45</v>
      </c>
      <c r="C77" s="11">
        <v>19.600000000000001</v>
      </c>
      <c r="D77" s="11">
        <v>43.67</v>
      </c>
      <c r="E77" s="11">
        <v>28.07</v>
      </c>
      <c r="F77" s="11">
        <v>48.74</v>
      </c>
      <c r="G77" s="11">
        <v>60.26</v>
      </c>
      <c r="H77" s="11">
        <v>69.64</v>
      </c>
      <c r="I77" s="11">
        <v>51.27</v>
      </c>
      <c r="J77" s="11">
        <v>55.27</v>
      </c>
      <c r="K77" s="11">
        <v>41.89</v>
      </c>
    </row>
    <row r="78" spans="1:11" ht="15" customHeight="1">
      <c r="A78" s="10" t="s">
        <v>319</v>
      </c>
      <c r="B78" s="11">
        <v>19.600000000000001</v>
      </c>
      <c r="C78" s="11">
        <v>43.67</v>
      </c>
      <c r="D78" s="11">
        <v>28.07</v>
      </c>
      <c r="E78" s="11">
        <v>48.74</v>
      </c>
      <c r="F78" s="11">
        <v>60.26</v>
      </c>
      <c r="G78" s="11">
        <v>69.64</v>
      </c>
      <c r="H78" s="11">
        <v>51.27</v>
      </c>
      <c r="I78" s="11">
        <v>55.27</v>
      </c>
      <c r="J78" s="11">
        <v>41.89</v>
      </c>
      <c r="K78" s="11">
        <v>50.59</v>
      </c>
    </row>
    <row r="79" spans="1:11" ht="15" customHeight="1">
      <c r="A79" s="18" t="s">
        <v>320</v>
      </c>
      <c r="B79" s="23">
        <v>2.15</v>
      </c>
      <c r="C79" s="23">
        <v>24.07</v>
      </c>
      <c r="D79" s="25">
        <v>-15.6</v>
      </c>
      <c r="E79" s="23">
        <v>20.67</v>
      </c>
      <c r="F79" s="23">
        <v>11.52</v>
      </c>
      <c r="G79" s="23">
        <v>9.3800000000000008</v>
      </c>
      <c r="H79" s="25">
        <v>-18.37</v>
      </c>
      <c r="I79" s="23">
        <v>4</v>
      </c>
      <c r="J79" s="25">
        <v>-13.37</v>
      </c>
      <c r="K79" s="23">
        <v>8.6999999999999993</v>
      </c>
    </row>
  </sheetData>
  <mergeCells count="50"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B12"/>
    <mergeCell ref="B13"/>
    <mergeCell ref="B14"/>
    <mergeCell ref="B15"/>
    <mergeCell ref="C12"/>
    <mergeCell ref="C13"/>
    <mergeCell ref="C14"/>
    <mergeCell ref="C15"/>
    <mergeCell ref="D12"/>
    <mergeCell ref="D13"/>
    <mergeCell ref="D14"/>
    <mergeCell ref="D15"/>
    <mergeCell ref="E12"/>
    <mergeCell ref="E13"/>
    <mergeCell ref="E14"/>
    <mergeCell ref="E15"/>
    <mergeCell ref="F12"/>
    <mergeCell ref="F13"/>
    <mergeCell ref="F14"/>
    <mergeCell ref="F15"/>
    <mergeCell ref="G12"/>
    <mergeCell ref="G13"/>
    <mergeCell ref="G14"/>
    <mergeCell ref="G15"/>
    <mergeCell ref="H12"/>
    <mergeCell ref="H13"/>
    <mergeCell ref="H14"/>
    <mergeCell ref="H15"/>
    <mergeCell ref="I12"/>
    <mergeCell ref="I13"/>
    <mergeCell ref="I14"/>
    <mergeCell ref="I15"/>
    <mergeCell ref="J12"/>
    <mergeCell ref="J13"/>
    <mergeCell ref="J14"/>
    <mergeCell ref="J15"/>
    <mergeCell ref="K12"/>
    <mergeCell ref="K13"/>
    <mergeCell ref="K14"/>
    <mergeCell ref="K15"/>
  </mergeCells>
  <pageMargins left="0.5" right="0.5" top="1" bottom="1" header="0.5" footer="0.7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1323A-0E97-421E-87F9-764EC5106138}">
  <dimension ref="A1:K30"/>
  <sheetViews>
    <sheetView zoomScale="70" zoomScaleNormal="70" workbookViewId="0">
      <selection activeCell="A24" sqref="A24"/>
    </sheetView>
  </sheetViews>
  <sheetFormatPr defaultRowHeight="14.4"/>
  <cols>
    <col min="1" max="1" width="34.44140625" customWidth="1"/>
    <col min="2" max="11" width="10.21875" bestFit="1" customWidth="1"/>
  </cols>
  <sheetData>
    <row r="1" spans="1:11">
      <c r="A1" s="248" t="s">
        <v>327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</row>
    <row r="2" spans="1:11">
      <c r="A2" s="38"/>
      <c r="B2" s="41">
        <v>2015</v>
      </c>
      <c r="C2" s="41">
        <v>2016</v>
      </c>
      <c r="D2" s="41">
        <v>2017</v>
      </c>
      <c r="E2" s="41">
        <v>2018</v>
      </c>
      <c r="F2" s="41">
        <v>2019</v>
      </c>
      <c r="G2" s="41">
        <v>2020</v>
      </c>
      <c r="H2" s="41">
        <v>2021</v>
      </c>
      <c r="I2" s="41">
        <v>2022</v>
      </c>
      <c r="J2" s="41">
        <v>2023</v>
      </c>
      <c r="K2" s="41">
        <v>2024</v>
      </c>
    </row>
    <row r="3" spans="1:11">
      <c r="A3" s="44" t="s">
        <v>476</v>
      </c>
      <c r="B3" s="48">
        <v>1</v>
      </c>
      <c r="C3" s="48">
        <v>1</v>
      </c>
      <c r="D3" s="48">
        <v>1</v>
      </c>
      <c r="E3" s="48">
        <v>1</v>
      </c>
      <c r="F3" s="48">
        <v>1</v>
      </c>
      <c r="G3" s="48">
        <v>1</v>
      </c>
      <c r="H3" s="48">
        <v>1</v>
      </c>
      <c r="I3" s="48">
        <v>1</v>
      </c>
      <c r="J3" s="48">
        <v>1</v>
      </c>
      <c r="K3" s="48">
        <v>1</v>
      </c>
    </row>
    <row r="4" spans="1:11">
      <c r="A4" s="34" t="s">
        <v>477</v>
      </c>
      <c r="B4" s="49">
        <f>'Income Statement'!B82/'Income Statement'!B20</f>
        <v>2.2213683629115535E-2</v>
      </c>
      <c r="C4" s="49">
        <f>'Income Statement'!C82/'Income Statement'!C20</f>
        <v>3.222019011492696E-2</v>
      </c>
      <c r="D4" s="49">
        <f>'Income Statement'!D82/'Income Statement'!D20</f>
        <v>0.22960382742991439</v>
      </c>
      <c r="E4" s="49">
        <f>'Income Statement'!E82/'Income Statement'!E20</f>
        <v>-3.6126403228650357E-2</v>
      </c>
      <c r="F4" s="49">
        <f>'Income Statement'!F82/'Income Statement'!F20</f>
        <v>3.4600167389484897E-2</v>
      </c>
      <c r="G4" s="49">
        <f>'Income Statement'!G82/'Income Statement'!G20</f>
        <v>3.8188751871124103E-2</v>
      </c>
      <c r="H4" s="49">
        <f>'Income Statement'!H82/'Income Statement'!H20</f>
        <v>4.1078367098930271E-2</v>
      </c>
      <c r="I4" s="49">
        <f>'Income Statement'!I82/'Income Statement'!I20</f>
        <v>-1.2101434495886871E-3</v>
      </c>
      <c r="J4" s="49">
        <f>'Income Statement'!J82/'Income Statement'!J20</f>
        <v>1.3236892500388179E-2</v>
      </c>
      <c r="K4" s="49">
        <f>'Income Statement'!K82/'Income Statement'!K20</f>
        <v>2.5821099417004983E-2</v>
      </c>
    </row>
    <row r="5" spans="1:11">
      <c r="A5" s="39" t="s">
        <v>478</v>
      </c>
      <c r="B5" s="50">
        <f>'Income Statement'!B82/'Balance Sheet'!B81</f>
        <v>1.5475473465836847E-2</v>
      </c>
      <c r="C5" s="50">
        <f>'Income Statement'!C82/'Balance Sheet'!C81</f>
        <v>2.4151645933824149E-2</v>
      </c>
      <c r="D5" s="50">
        <f>'Income Statement'!D82/'Balance Sheet'!D81</f>
        <v>0.15069134578306617</v>
      </c>
      <c r="E5" s="50">
        <f>'Income Statement'!E82/'Balance Sheet'!E81</f>
        <v>-2.8016651979701605E-2</v>
      </c>
      <c r="F5" s="50">
        <f>'Income Statement'!F82/'Balance Sheet'!F81</f>
        <v>2.4743922843578688E-2</v>
      </c>
      <c r="G5" s="50">
        <f>'Income Statement'!G82/'Balance Sheet'!G81</f>
        <v>2.914060375305956E-2</v>
      </c>
      <c r="H5" s="50">
        <f>'Income Statement'!H82/'Balance Sheet'!H81</f>
        <v>2.1422615076717812E-2</v>
      </c>
      <c r="I5" s="50">
        <f>'Income Statement'!I82/'Balance Sheet'!I81</f>
        <v>-7.0417520512069877E-4</v>
      </c>
      <c r="J5" s="50">
        <f>'Income Statement'!J82/'Balance Sheet'!J81</f>
        <v>8.4219018844314195E-3</v>
      </c>
      <c r="K5" s="50">
        <f>'Income Statement'!K82/'Balance Sheet'!K81</f>
        <v>1.0727761079490951E-2</v>
      </c>
    </row>
    <row r="6" spans="1:11">
      <c r="A6" s="39" t="s">
        <v>479</v>
      </c>
      <c r="B6" s="51">
        <f>'Income Statement'!B82/'Balance Sheet'!B130</f>
        <v>2.6383342840844266E-2</v>
      </c>
      <c r="C6" s="51">
        <f>'Income Statement'!C82/'Balance Sheet'!C130</f>
        <v>4.1897883085234448E-2</v>
      </c>
      <c r="D6" s="51">
        <f>'Income Statement'!D82/'Balance Sheet'!D130</f>
        <v>0.26554385283696547</v>
      </c>
      <c r="E6" s="51">
        <f>'Income Statement'!E82/'Balance Sheet'!E130</f>
        <v>-5.1446586502245907E-2</v>
      </c>
      <c r="F6" s="51">
        <f>'Income Statement'!F82/'Balance Sheet'!F130</f>
        <v>5.0576949812317536E-2</v>
      </c>
      <c r="G6" s="51">
        <f>'Income Statement'!G82/'Balance Sheet'!G130</f>
        <v>5.5887338636067284E-2</v>
      </c>
      <c r="H6" s="51">
        <f>'Income Statement'!H82/'Balance Sheet'!H130</f>
        <v>4.3580783063038614E-2</v>
      </c>
      <c r="I6" s="51">
        <f>'Income Statement'!I82/'Balance Sheet'!I130</f>
        <v>-1.4836547918715723E-3</v>
      </c>
      <c r="J6" s="51">
        <f>'Income Statement'!J82/'Balance Sheet'!J130</f>
        <v>1.6978125933547982E-2</v>
      </c>
      <c r="K6" s="51">
        <f>'Income Statement'!K82/'Balance Sheet'!K130</f>
        <v>2.1742652538803017E-2</v>
      </c>
    </row>
    <row r="7" spans="1:11">
      <c r="A7" s="34" t="s">
        <v>480</v>
      </c>
      <c r="B7" s="51">
        <f>'Income Statement'!B46/'Income Statement'!B20</f>
        <v>5.1271583295309911E-2</v>
      </c>
      <c r="C7" s="51">
        <f>'Income Statement'!C46/'Income Statement'!C20</f>
        <v>5.7869899975163133E-2</v>
      </c>
      <c r="D7" s="51">
        <f>'Income Statement'!D46/'Income Statement'!D20</f>
        <v>0.29689860668121537</v>
      </c>
      <c r="E7" s="51">
        <f>'Income Statement'!E46/'Income Statement'!E20</f>
        <v>-2.1746370707050915E-2</v>
      </c>
      <c r="F7" s="51">
        <f>'Income Statement'!F46/'Income Statement'!F20</f>
        <v>7.633340941946283E-2</v>
      </c>
      <c r="G7" s="51">
        <f>'Income Statement'!G46/'Income Statement'!G20</f>
        <v>7.874759426901419E-2</v>
      </c>
      <c r="H7" s="51">
        <f>'Income Statement'!H46/'Income Statement'!H20</f>
        <v>6.4839540126960776E-2</v>
      </c>
      <c r="I7" s="51">
        <f>'Income Statement'!I46/'Income Statement'!I20</f>
        <v>1.50656060915086E-2</v>
      </c>
      <c r="J7" s="51">
        <f>'Income Statement'!J46/'Income Statement'!J20</f>
        <v>6.1371047047254282E-2</v>
      </c>
      <c r="K7" s="51">
        <f>'Income Statement'!K46/'Income Statement'!K20</f>
        <v>1.722047986454505E-2</v>
      </c>
    </row>
    <row r="8" spans="1:11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</row>
    <row r="9" spans="1:11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</row>
    <row r="10" spans="1:11">
      <c r="A10" s="248" t="s">
        <v>322</v>
      </c>
      <c r="B10" s="248"/>
      <c r="C10" s="248"/>
      <c r="D10" s="248"/>
      <c r="E10" s="248"/>
      <c r="F10" s="248"/>
      <c r="G10" s="248"/>
      <c r="H10" s="248"/>
      <c r="I10" s="248"/>
      <c r="J10" s="248"/>
      <c r="K10" s="248"/>
    </row>
    <row r="11" spans="1:11">
      <c r="A11" s="38"/>
      <c r="B11" s="41">
        <v>2015</v>
      </c>
      <c r="C11" s="41">
        <v>2016</v>
      </c>
      <c r="D11" s="41">
        <v>2017</v>
      </c>
      <c r="E11" s="41">
        <v>2018</v>
      </c>
      <c r="F11" s="41">
        <v>2019</v>
      </c>
      <c r="G11" s="41">
        <v>2020</v>
      </c>
      <c r="H11" s="41">
        <v>2021</v>
      </c>
      <c r="I11" s="41">
        <v>2022</v>
      </c>
      <c r="J11" s="41">
        <v>2023</v>
      </c>
      <c r="K11" s="41">
        <v>2024</v>
      </c>
    </row>
    <row r="12" spans="1:11">
      <c r="A12" s="34" t="s">
        <v>323</v>
      </c>
      <c r="B12" s="42">
        <f>'Balance Sheet'!B33/'Balance Sheet'!B100</f>
        <v>1.8350112519246713</v>
      </c>
      <c r="C12" s="42">
        <f>'Balance Sheet'!C33/'Balance Sheet'!C100</f>
        <v>1.781668580176043</v>
      </c>
      <c r="D12" s="42">
        <f>'Balance Sheet'!D33/'Balance Sheet'!D100</f>
        <v>1.684667673716012</v>
      </c>
      <c r="E12" s="42">
        <f>'Balance Sheet'!E33/'Balance Sheet'!E100</f>
        <v>1.6739095702188846</v>
      </c>
      <c r="F12" s="42">
        <f>'Balance Sheet'!F33/'Balance Sheet'!F100</f>
        <v>0.86763513275272375</v>
      </c>
      <c r="G12" s="42">
        <f>'Balance Sheet'!G33/'Balance Sheet'!G100</f>
        <v>1.7532967750359054</v>
      </c>
      <c r="H12" s="42">
        <f>'Balance Sheet'!H33/'Balance Sheet'!H100</f>
        <v>1.3515457533463535</v>
      </c>
      <c r="I12" s="42">
        <f>'Balance Sheet'!I33/'Balance Sheet'!I100</f>
        <v>1.3336112732427248</v>
      </c>
      <c r="J12" s="42">
        <f>'Balance Sheet'!J33/'Balance Sheet'!J100</f>
        <v>1.3861095840205242</v>
      </c>
      <c r="K12" s="42">
        <f>'Balance Sheet'!K33/'Balance Sheet'!K100</f>
        <v>1.6763276640055536</v>
      </c>
    </row>
    <row r="13" spans="1:11">
      <c r="A13" s="39"/>
      <c r="B13" s="43"/>
      <c r="C13" s="39"/>
      <c r="D13" s="39"/>
      <c r="E13" s="39"/>
      <c r="F13" s="39"/>
      <c r="G13" s="39"/>
      <c r="H13" s="39"/>
      <c r="I13" s="39"/>
      <c r="J13" s="39"/>
      <c r="K13" s="39"/>
    </row>
    <row r="14" spans="1:11">
      <c r="A14" s="39"/>
      <c r="B14" s="36"/>
      <c r="C14" s="36"/>
      <c r="D14" s="36"/>
      <c r="E14" s="36"/>
      <c r="F14" s="36"/>
      <c r="G14" s="36"/>
      <c r="H14" s="36"/>
      <c r="I14" s="36"/>
      <c r="J14" s="36"/>
      <c r="K14" s="36"/>
    </row>
    <row r="15" spans="1:11">
      <c r="A15" s="34"/>
      <c r="B15" s="37"/>
      <c r="C15" s="37"/>
      <c r="D15" s="37"/>
      <c r="E15" s="37"/>
      <c r="F15" s="37"/>
      <c r="G15" s="37"/>
      <c r="H15" s="37"/>
      <c r="I15" s="37"/>
      <c r="J15" s="37"/>
      <c r="K15" s="37"/>
    </row>
    <row r="16" spans="1:11">
      <c r="A16" s="245" t="s">
        <v>324</v>
      </c>
      <c r="B16" s="246"/>
      <c r="C16" s="246"/>
      <c r="D16" s="246"/>
      <c r="E16" s="246"/>
      <c r="F16" s="246"/>
      <c r="G16" s="246"/>
      <c r="H16" s="246"/>
      <c r="I16" s="246"/>
      <c r="J16" s="246"/>
      <c r="K16" s="247"/>
    </row>
    <row r="17" spans="1:11">
      <c r="A17" s="38"/>
      <c r="B17" s="41">
        <v>2015</v>
      </c>
      <c r="C17" s="41">
        <v>2016</v>
      </c>
      <c r="D17" s="41">
        <v>2017</v>
      </c>
      <c r="E17" s="41">
        <v>2018</v>
      </c>
      <c r="F17" s="41">
        <v>2019</v>
      </c>
      <c r="G17" s="41">
        <v>2020</v>
      </c>
      <c r="H17" s="41">
        <v>2021</v>
      </c>
      <c r="I17" s="41">
        <v>2022</v>
      </c>
      <c r="J17" s="41">
        <v>2023</v>
      </c>
      <c r="K17" s="41">
        <v>2024</v>
      </c>
    </row>
    <row r="18" spans="1:11">
      <c r="A18" s="44" t="s">
        <v>325</v>
      </c>
      <c r="B18" s="45">
        <v>3.3</v>
      </c>
      <c r="C18" s="45">
        <v>3.42</v>
      </c>
      <c r="D18" s="45">
        <v>3.49</v>
      </c>
      <c r="E18" s="45">
        <v>3.4</v>
      </c>
      <c r="F18" s="45">
        <v>3.05</v>
      </c>
      <c r="G18" s="45">
        <v>2.95</v>
      </c>
      <c r="H18" s="45">
        <v>2.96</v>
      </c>
      <c r="I18" s="45">
        <v>3</v>
      </c>
      <c r="J18" s="45">
        <v>2.96</v>
      </c>
      <c r="K18" s="45">
        <v>2.54</v>
      </c>
    </row>
    <row r="19" spans="1:11">
      <c r="A19" s="44" t="s">
        <v>326</v>
      </c>
      <c r="B19" s="46">
        <v>110.98</v>
      </c>
      <c r="C19" s="46">
        <v>107.07</v>
      </c>
      <c r="D19" s="46">
        <v>104.76</v>
      </c>
      <c r="E19" s="46">
        <v>107.72</v>
      </c>
      <c r="F19" s="46">
        <v>119.98</v>
      </c>
      <c r="G19" s="46">
        <v>124.19</v>
      </c>
      <c r="H19" s="46">
        <v>123.79</v>
      </c>
      <c r="I19" s="46">
        <v>121.8</v>
      </c>
      <c r="J19" s="46">
        <v>123.82</v>
      </c>
      <c r="K19" s="46">
        <v>144.33000000000001</v>
      </c>
    </row>
    <row r="20" spans="1:11">
      <c r="B20" s="52"/>
    </row>
    <row r="22" spans="1:11">
      <c r="A22" s="245" t="s">
        <v>328</v>
      </c>
      <c r="B22" s="246"/>
      <c r="C22" s="246"/>
      <c r="D22" s="246"/>
      <c r="E22" s="246"/>
      <c r="F22" s="246"/>
      <c r="G22" s="246"/>
      <c r="H22" s="246"/>
      <c r="I22" s="246"/>
      <c r="J22" s="246"/>
      <c r="K22" s="247"/>
    </row>
    <row r="23" spans="1:11">
      <c r="A23" s="38"/>
      <c r="B23" s="41">
        <v>2015</v>
      </c>
      <c r="C23" s="41">
        <v>2016</v>
      </c>
      <c r="D23" s="41">
        <v>2017</v>
      </c>
      <c r="E23" s="41">
        <v>2018</v>
      </c>
      <c r="F23" s="41">
        <v>2019</v>
      </c>
      <c r="G23" s="41">
        <v>2020</v>
      </c>
      <c r="H23" s="41">
        <v>2021</v>
      </c>
      <c r="I23" s="41">
        <v>2022</v>
      </c>
      <c r="J23" s="41">
        <v>2023</v>
      </c>
      <c r="K23" s="41">
        <v>2024</v>
      </c>
    </row>
    <row r="24" spans="1:11">
      <c r="A24" s="44" t="s">
        <v>472</v>
      </c>
      <c r="B24" s="47">
        <v>22.83</v>
      </c>
      <c r="C24" s="47">
        <v>20.98</v>
      </c>
      <c r="D24" s="47">
        <v>20.77</v>
      </c>
      <c r="E24" s="47">
        <v>19.66</v>
      </c>
      <c r="F24" s="47">
        <v>29.14</v>
      </c>
      <c r="G24" s="47">
        <v>25.29</v>
      </c>
      <c r="H24" s="47">
        <v>29.86</v>
      </c>
      <c r="I24" s="47">
        <v>29.92</v>
      </c>
      <c r="J24" s="47">
        <v>29.27</v>
      </c>
      <c r="K24" s="47">
        <v>25.55</v>
      </c>
    </row>
    <row r="25" spans="1:11">
      <c r="A25" s="44" t="s">
        <v>473</v>
      </c>
      <c r="B25" s="47">
        <v>28.01</v>
      </c>
      <c r="C25" s="47">
        <v>26.68</v>
      </c>
      <c r="D25" s="47">
        <v>26.79</v>
      </c>
      <c r="E25" s="47">
        <v>26.52</v>
      </c>
      <c r="F25" s="47">
        <v>37.33</v>
      </c>
      <c r="G25" s="47">
        <v>32.659999999999997</v>
      </c>
      <c r="H25" s="47">
        <v>37.67</v>
      </c>
      <c r="I25" s="47">
        <v>38.659999999999997</v>
      </c>
      <c r="J25" s="47">
        <v>37.11</v>
      </c>
      <c r="K25" s="47">
        <v>34.119999999999997</v>
      </c>
    </row>
    <row r="26" spans="1:11">
      <c r="A26" s="44" t="s">
        <v>474</v>
      </c>
      <c r="B26" s="47">
        <v>38.909999999999997</v>
      </c>
      <c r="C26" s="47">
        <v>36.39</v>
      </c>
      <c r="D26" s="47">
        <v>36.6</v>
      </c>
      <c r="E26" s="47">
        <v>36.090000000000003</v>
      </c>
      <c r="F26" s="47">
        <v>59.57</v>
      </c>
      <c r="G26" s="47">
        <v>48.51</v>
      </c>
      <c r="H26" s="47">
        <v>60.75</v>
      </c>
      <c r="I26" s="47">
        <v>63.04</v>
      </c>
      <c r="J26" s="47">
        <v>59.01</v>
      </c>
      <c r="K26" s="47">
        <v>51.79</v>
      </c>
    </row>
    <row r="27" spans="1:11">
      <c r="A27" s="44" t="s">
        <v>475</v>
      </c>
      <c r="B27" s="45">
        <v>2.2000000000000002</v>
      </c>
      <c r="C27" s="45">
        <v>7.3</v>
      </c>
      <c r="D27" s="45">
        <v>7.49</v>
      </c>
      <c r="E27" s="45">
        <v>1.87</v>
      </c>
      <c r="F27" s="45">
        <v>3.78</v>
      </c>
      <c r="G27" s="45">
        <v>6.39</v>
      </c>
      <c r="H27" s="45">
        <v>7.4</v>
      </c>
      <c r="I27" s="45">
        <v>4.38</v>
      </c>
      <c r="J27" s="45">
        <v>3.14</v>
      </c>
      <c r="K27" s="45">
        <v>1.79</v>
      </c>
    </row>
    <row r="30" spans="1:11">
      <c r="A30" s="29"/>
      <c r="B30" s="32"/>
      <c r="C30" s="32"/>
      <c r="D30" s="30"/>
      <c r="E30" s="31"/>
      <c r="F30" s="33"/>
      <c r="G30" s="30"/>
      <c r="H30" s="31"/>
      <c r="I30" s="31"/>
      <c r="J30" s="32"/>
      <c r="K30" s="31"/>
    </row>
  </sheetData>
  <mergeCells count="4">
    <mergeCell ref="A22:K22"/>
    <mergeCell ref="A1:K1"/>
    <mergeCell ref="A10:K10"/>
    <mergeCell ref="A16:K1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68FCC-9599-47A8-8AC4-277F2B87C2D5}">
  <dimension ref="A1:V12"/>
  <sheetViews>
    <sheetView zoomScale="76" workbookViewId="0">
      <selection activeCell="H25" sqref="H25"/>
    </sheetView>
  </sheetViews>
  <sheetFormatPr defaultRowHeight="14.4"/>
  <cols>
    <col min="1" max="1" width="30.5546875" customWidth="1"/>
    <col min="2" max="2" width="10.33203125" bestFit="1" customWidth="1"/>
    <col min="7" max="7" width="8.88671875" bestFit="1" customWidth="1"/>
    <col min="8" max="8" width="10.33203125" customWidth="1"/>
    <col min="12" max="13" width="9" bestFit="1" customWidth="1"/>
    <col min="14" max="14" width="11.33203125" customWidth="1"/>
    <col min="15" max="16" width="9.77734375" bestFit="1" customWidth="1"/>
    <col min="17" max="17" width="20.88671875" bestFit="1" customWidth="1"/>
  </cols>
  <sheetData>
    <row r="1" spans="1:22">
      <c r="A1" s="245" t="s">
        <v>329</v>
      </c>
      <c r="B1" s="246"/>
      <c r="C1" s="246"/>
      <c r="D1" s="246"/>
      <c r="E1" s="246"/>
      <c r="F1" s="246"/>
      <c r="G1" s="246"/>
      <c r="H1" s="246"/>
      <c r="I1" s="246"/>
      <c r="J1" s="246"/>
      <c r="K1" s="247"/>
      <c r="L1" s="249" t="s">
        <v>337</v>
      </c>
      <c r="M1" s="250"/>
      <c r="N1" s="250"/>
      <c r="O1" s="250"/>
      <c r="P1" s="250"/>
      <c r="Q1" s="250"/>
    </row>
    <row r="2" spans="1:22">
      <c r="A2" s="38"/>
      <c r="B2" s="41">
        <v>2015</v>
      </c>
      <c r="C2" s="41">
        <v>2016</v>
      </c>
      <c r="D2" s="41">
        <v>2017</v>
      </c>
      <c r="E2" s="41">
        <v>2018</v>
      </c>
      <c r="F2" s="41">
        <v>2019</v>
      </c>
      <c r="G2" s="41">
        <v>2020</v>
      </c>
      <c r="H2" s="41">
        <v>2021</v>
      </c>
      <c r="I2" s="41">
        <v>2022</v>
      </c>
      <c r="J2" s="41">
        <v>2023</v>
      </c>
      <c r="K2" s="41">
        <v>2024</v>
      </c>
      <c r="L2" s="58">
        <v>2025</v>
      </c>
      <c r="M2" s="58">
        <v>2026</v>
      </c>
      <c r="N2" s="58">
        <v>2027</v>
      </c>
      <c r="O2" s="58">
        <v>2028</v>
      </c>
      <c r="P2" s="58">
        <v>2029</v>
      </c>
      <c r="Q2" s="58" t="s">
        <v>388</v>
      </c>
    </row>
    <row r="3" spans="1:22">
      <c r="A3" s="44" t="s">
        <v>330</v>
      </c>
      <c r="B3" s="55" cm="1">
        <f t="array" ref="B3:K3">'Cash Flow'!B51:K51</f>
        <v>48.14</v>
      </c>
      <c r="C3" s="55">
        <v>67.239999999999995</v>
      </c>
      <c r="D3" s="55">
        <v>57.84</v>
      </c>
      <c r="E3" s="55">
        <v>49.49</v>
      </c>
      <c r="F3" s="55">
        <v>52.43</v>
      </c>
      <c r="G3" s="55">
        <v>72.3</v>
      </c>
      <c r="H3" s="55">
        <v>56.31</v>
      </c>
      <c r="I3" s="55">
        <v>77.08</v>
      </c>
      <c r="J3" s="55">
        <v>71.430000000000007</v>
      </c>
      <c r="K3" s="55">
        <v>79.92</v>
      </c>
    </row>
    <row r="4" spans="1:22">
      <c r="A4" s="44" t="s">
        <v>331</v>
      </c>
      <c r="B4" s="55" cm="1">
        <f t="array" ref="B4:K4">'Cash Flow'!B54:K54</f>
        <v>-12.32</v>
      </c>
      <c r="C4" s="55">
        <v>-4.2300000000000004</v>
      </c>
      <c r="D4" s="55">
        <v>-11.79</v>
      </c>
      <c r="E4" s="55">
        <v>-11.54</v>
      </c>
      <c r="F4" s="55">
        <v>-5.79</v>
      </c>
      <c r="G4" s="55">
        <v>-3.58</v>
      </c>
      <c r="H4" s="55">
        <v>-5.96</v>
      </c>
      <c r="I4" s="55">
        <v>-5.43</v>
      </c>
      <c r="J4" s="55">
        <v>-4.83</v>
      </c>
      <c r="K4" s="55">
        <v>-1.39</v>
      </c>
    </row>
    <row r="5" spans="1:22">
      <c r="A5" t="s">
        <v>332</v>
      </c>
      <c r="B5" s="56">
        <f>B3+B4</f>
        <v>35.82</v>
      </c>
      <c r="C5" s="56">
        <f t="shared" ref="C5:K5" si="0">C3+C4</f>
        <v>63.009999999999991</v>
      </c>
      <c r="D5" s="56">
        <f t="shared" si="0"/>
        <v>46.050000000000004</v>
      </c>
      <c r="E5" s="56">
        <f t="shared" si="0"/>
        <v>37.950000000000003</v>
      </c>
      <c r="F5" s="56">
        <f t="shared" si="0"/>
        <v>46.64</v>
      </c>
      <c r="G5" s="56">
        <f t="shared" si="0"/>
        <v>68.72</v>
      </c>
      <c r="H5" s="56">
        <f t="shared" si="0"/>
        <v>50.35</v>
      </c>
      <c r="I5" s="56">
        <f t="shared" si="0"/>
        <v>71.650000000000006</v>
      </c>
      <c r="J5" s="56">
        <f t="shared" si="0"/>
        <v>66.600000000000009</v>
      </c>
      <c r="K5" s="56">
        <f t="shared" si="0"/>
        <v>78.53</v>
      </c>
      <c r="L5" s="53">
        <f>K5*(1+L7)</f>
        <v>82.456500000000005</v>
      </c>
      <c r="M5" s="53">
        <f>L5*(1+M7)</f>
        <v>86.167042499999994</v>
      </c>
      <c r="N5" s="53">
        <f>M5*(1+N7)</f>
        <v>89.613724199999993</v>
      </c>
      <c r="O5" s="53">
        <f>N5*(1+O7)</f>
        <v>92.750204546999981</v>
      </c>
      <c r="P5" s="53">
        <f>O5*(1+P7)</f>
        <v>95.532710683409988</v>
      </c>
      <c r="Q5" s="53">
        <f>P5*(1+DCF_CSCF!B8)/(L12-DCF_CSCF!B8)</f>
        <v>1801.692763785057</v>
      </c>
      <c r="R5" s="53"/>
    </row>
    <row r="6" spans="1:22">
      <c r="A6" t="s">
        <v>336</v>
      </c>
      <c r="B6" s="57">
        <f>(C5-B5)/B5</f>
        <v>0.75907314349525379</v>
      </c>
      <c r="C6" s="57">
        <f t="shared" ref="C6:J6" si="1">(D5-C5)/C5</f>
        <v>-0.26916362482145673</v>
      </c>
      <c r="D6" s="57">
        <f t="shared" si="1"/>
        <v>-0.17589576547231273</v>
      </c>
      <c r="E6" s="57">
        <f t="shared" si="1"/>
        <v>0.22898550724637673</v>
      </c>
      <c r="F6" s="57">
        <f t="shared" si="1"/>
        <v>0.47341337907375641</v>
      </c>
      <c r="G6" s="57">
        <f t="shared" si="1"/>
        <v>-0.26731664726426074</v>
      </c>
      <c r="H6" s="57">
        <f t="shared" si="1"/>
        <v>0.42303872889771604</v>
      </c>
      <c r="I6" s="57">
        <f t="shared" si="1"/>
        <v>-7.0481507327285364E-2</v>
      </c>
      <c r="J6" s="57">
        <f t="shared" si="1"/>
        <v>0.17912912912912898</v>
      </c>
      <c r="K6" s="56"/>
    </row>
    <row r="7" spans="1:22">
      <c r="A7" t="s">
        <v>413</v>
      </c>
      <c r="B7" s="57"/>
      <c r="C7" s="57"/>
      <c r="D7" s="57"/>
      <c r="E7" s="57"/>
      <c r="F7" s="57"/>
      <c r="G7" s="57"/>
      <c r="H7" s="57"/>
      <c r="I7" s="57"/>
      <c r="J7" s="57"/>
      <c r="K7" s="56"/>
      <c r="L7" s="59">
        <v>0.05</v>
      </c>
      <c r="M7" s="59">
        <f>L7-0.5%</f>
        <v>4.5000000000000005E-2</v>
      </c>
      <c r="N7" s="59">
        <f>M7-0.5%</f>
        <v>4.0000000000000008E-2</v>
      </c>
      <c r="O7" s="59">
        <f>N7-0.5%</f>
        <v>3.500000000000001E-2</v>
      </c>
      <c r="P7" s="59">
        <f>O7-0.5%</f>
        <v>3.0000000000000009E-2</v>
      </c>
    </row>
    <row r="8" spans="1:22">
      <c r="B8" s="56" t="s">
        <v>339</v>
      </c>
      <c r="C8" s="56" t="s">
        <v>338</v>
      </c>
      <c r="D8" s="56"/>
      <c r="E8" s="56"/>
      <c r="F8" s="56"/>
      <c r="G8" s="56"/>
      <c r="H8" s="56"/>
      <c r="I8" s="56"/>
      <c r="J8" s="56"/>
      <c r="K8" s="56"/>
    </row>
    <row r="9" spans="1:22">
      <c r="A9" t="s">
        <v>333</v>
      </c>
      <c r="B9" s="57">
        <f>AVERAGE(B6:J6)</f>
        <v>0.14230914921743518</v>
      </c>
      <c r="C9" s="57">
        <f>AVERAGE(G6:J6)</f>
        <v>6.609242585882473E-2</v>
      </c>
      <c r="D9" s="56"/>
      <c r="E9" s="56"/>
      <c r="F9" s="56"/>
      <c r="G9" s="56"/>
      <c r="H9" s="56"/>
      <c r="I9" s="56"/>
      <c r="J9" s="56"/>
      <c r="K9" t="s">
        <v>375</v>
      </c>
      <c r="L9" t="s">
        <v>376</v>
      </c>
      <c r="M9" t="s">
        <v>377</v>
      </c>
      <c r="N9" t="s">
        <v>378</v>
      </c>
      <c r="O9" t="s">
        <v>379</v>
      </c>
      <c r="P9" t="s">
        <v>380</v>
      </c>
      <c r="Q9" t="s">
        <v>381</v>
      </c>
      <c r="R9" t="s">
        <v>382</v>
      </c>
      <c r="S9" t="s">
        <v>383</v>
      </c>
      <c r="T9" t="s">
        <v>384</v>
      </c>
      <c r="U9" t="s">
        <v>385</v>
      </c>
      <c r="V9" t="s">
        <v>386</v>
      </c>
    </row>
    <row r="10" spans="1:22">
      <c r="A10" t="s">
        <v>334</v>
      </c>
      <c r="B10" s="57">
        <f>MEDIAN(B6:J6)</f>
        <v>0.17912912912912898</v>
      </c>
      <c r="C10" s="59">
        <f>MEDIAN(G6:J6)</f>
        <v>5.432381090092181E-2</v>
      </c>
      <c r="D10" s="53"/>
      <c r="E10" s="56"/>
      <c r="F10" s="56"/>
      <c r="G10" s="56"/>
      <c r="H10" s="56"/>
      <c r="I10" s="56"/>
      <c r="J10" s="56"/>
      <c r="K10" s="97" t="s">
        <v>374</v>
      </c>
      <c r="L10" s="98">
        <v>54</v>
      </c>
      <c r="M10" s="99">
        <v>0.96549740666104511</v>
      </c>
      <c r="N10" s="100">
        <v>8.2561184337082621E-2</v>
      </c>
      <c r="O10" s="100">
        <v>0.80229597034020494</v>
      </c>
      <c r="P10" s="100">
        <v>0.50559625569073496</v>
      </c>
      <c r="Q10" s="101">
        <v>5.2913000000000002E-2</v>
      </c>
      <c r="R10" s="102">
        <v>8.6974402714819363E-2</v>
      </c>
      <c r="S10" s="100">
        <v>3.9684750000000005E-2</v>
      </c>
      <c r="T10" s="101">
        <v>0.19770402965979506</v>
      </c>
      <c r="U10" s="103">
        <v>7.4084340491197775E-2</v>
      </c>
      <c r="V10" s="100">
        <v>7.408434049119772E-2</v>
      </c>
    </row>
    <row r="11" spans="1:22">
      <c r="A11" t="s">
        <v>335</v>
      </c>
      <c r="B11" s="57">
        <f>((K5/B5)^(1/10)-1)</f>
        <v>8.1660577535928036E-2</v>
      </c>
      <c r="C11" s="57">
        <f>((K5/G5)^(1/10)-1)</f>
        <v>1.3433473065022072E-2</v>
      </c>
      <c r="D11" s="56"/>
      <c r="E11" s="56"/>
      <c r="F11" s="56"/>
      <c r="G11" s="56"/>
      <c r="H11" s="56"/>
      <c r="I11" s="56"/>
      <c r="J11" s="56"/>
    </row>
    <row r="12" spans="1:22">
      <c r="B12" s="56"/>
      <c r="C12" s="56"/>
      <c r="D12" s="56"/>
      <c r="E12" s="56"/>
      <c r="F12" s="56"/>
      <c r="G12" s="56"/>
      <c r="H12" s="56"/>
      <c r="I12" s="56"/>
      <c r="J12" s="56"/>
      <c r="K12" s="104" t="s">
        <v>387</v>
      </c>
      <c r="L12" s="105">
        <f>(O10*N10)+(T10*S10)</f>
        <v>7.4084340491197775E-2</v>
      </c>
    </row>
  </sheetData>
  <mergeCells count="2">
    <mergeCell ref="A1:K1"/>
    <mergeCell ref="L1:Q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AFBE9-161A-4504-9BFE-E460249BDF76}">
  <dimension ref="A1:Z55"/>
  <sheetViews>
    <sheetView topLeftCell="A9" zoomScale="70" zoomScaleNormal="70" workbookViewId="0">
      <selection activeCell="B4" sqref="B4"/>
    </sheetView>
  </sheetViews>
  <sheetFormatPr defaultRowHeight="14.4"/>
  <cols>
    <col min="1" max="1" width="43.21875" bestFit="1" customWidth="1"/>
    <col min="2" max="2" width="12.44140625" customWidth="1"/>
    <col min="3" max="3" width="8.88671875" customWidth="1"/>
    <col min="7" max="7" width="9.109375" bestFit="1" customWidth="1"/>
    <col min="8" max="8" width="15.33203125" customWidth="1"/>
    <col min="9" max="9" width="8.88671875" customWidth="1"/>
    <col min="12" max="13" width="9" bestFit="1" customWidth="1"/>
    <col min="14" max="14" width="20.88671875" bestFit="1" customWidth="1"/>
    <col min="15" max="16" width="9.77734375" bestFit="1" customWidth="1"/>
    <col min="17" max="17" width="20.88671875" bestFit="1" customWidth="1"/>
  </cols>
  <sheetData>
    <row r="1" spans="1:26" ht="15" thickBot="1">
      <c r="A1" s="63" t="s">
        <v>348</v>
      </c>
      <c r="B1" s="67"/>
      <c r="C1" s="68"/>
      <c r="D1" s="68"/>
      <c r="E1" s="68"/>
      <c r="F1" s="68"/>
      <c r="G1" s="68"/>
      <c r="H1" s="68"/>
      <c r="I1" s="68"/>
    </row>
    <row r="2" spans="1:26">
      <c r="A2" s="63"/>
      <c r="B2" s="67"/>
      <c r="C2" s="68"/>
      <c r="D2" s="68"/>
      <c r="E2" s="68"/>
      <c r="F2" s="68"/>
      <c r="G2" s="68"/>
      <c r="H2" s="68"/>
      <c r="I2" s="68"/>
      <c r="J2" s="230" t="s">
        <v>349</v>
      </c>
      <c r="K2" s="231"/>
      <c r="L2" s="231"/>
      <c r="M2" s="231"/>
      <c r="N2" s="231"/>
      <c r="O2" s="231"/>
      <c r="P2" s="231"/>
      <c r="Q2" s="231"/>
      <c r="R2" s="231"/>
      <c r="S2" s="232"/>
    </row>
    <row r="3" spans="1:26">
      <c r="A3" s="69" t="s">
        <v>350</v>
      </c>
      <c r="B3" s="70">
        <v>46073</v>
      </c>
      <c r="C3" s="71"/>
      <c r="D3" s="71"/>
      <c r="E3" s="71"/>
      <c r="F3" s="71"/>
      <c r="G3" s="71"/>
      <c r="H3" s="71"/>
      <c r="J3" s="233"/>
      <c r="K3" s="234"/>
      <c r="L3" s="234"/>
      <c r="M3" s="234"/>
      <c r="N3" s="234"/>
      <c r="O3" s="234"/>
      <c r="P3" s="234"/>
      <c r="Q3" s="234"/>
      <c r="R3" s="234"/>
      <c r="S3" s="235"/>
    </row>
    <row r="4" spans="1:26">
      <c r="A4" s="69" t="s">
        <v>351</v>
      </c>
      <c r="B4" s="70">
        <f>'Balance Sheet'!K12</f>
        <v>45657</v>
      </c>
      <c r="C4" s="71"/>
      <c r="D4" s="71"/>
      <c r="E4" s="71"/>
      <c r="F4" s="71"/>
      <c r="G4" s="71"/>
      <c r="H4" s="71"/>
      <c r="J4" s="236" t="s">
        <v>352</v>
      </c>
      <c r="K4" s="237"/>
      <c r="L4" s="237"/>
      <c r="M4" s="237"/>
      <c r="N4" s="237"/>
      <c r="O4" s="237"/>
      <c r="P4" s="237"/>
      <c r="Q4" s="237"/>
      <c r="R4" s="237"/>
      <c r="S4" s="238"/>
    </row>
    <row r="5" spans="1:26">
      <c r="A5" s="69" t="s">
        <v>353</v>
      </c>
      <c r="B5" s="72">
        <v>40.25</v>
      </c>
      <c r="J5" s="236"/>
      <c r="K5" s="237"/>
      <c r="L5" s="237"/>
      <c r="M5" s="237"/>
      <c r="N5" s="237"/>
      <c r="O5" s="237"/>
      <c r="P5" s="237"/>
      <c r="Q5" s="237"/>
      <c r="R5" s="237"/>
      <c r="S5" s="238"/>
    </row>
    <row r="6" spans="1:26">
      <c r="A6" s="69" t="s">
        <v>393</v>
      </c>
      <c r="B6" s="108">
        <v>40.4</v>
      </c>
      <c r="J6" s="239" t="s">
        <v>355</v>
      </c>
      <c r="K6" s="240"/>
      <c r="L6" s="240"/>
      <c r="M6" s="240"/>
      <c r="N6" s="240"/>
      <c r="O6" s="240"/>
      <c r="P6" s="240"/>
      <c r="Q6" s="240"/>
      <c r="R6" s="240"/>
      <c r="S6" s="241"/>
    </row>
    <row r="7" spans="1:26">
      <c r="A7" s="69" t="s">
        <v>391</v>
      </c>
      <c r="B7" s="125">
        <f>Process_CSCF!C10</f>
        <v>5.432381090092181E-2</v>
      </c>
      <c r="C7" t="s">
        <v>390</v>
      </c>
      <c r="J7" s="239"/>
      <c r="K7" s="240"/>
      <c r="L7" s="240"/>
      <c r="M7" s="240"/>
      <c r="N7" s="240"/>
      <c r="O7" s="240"/>
      <c r="P7" s="240"/>
      <c r="Q7" s="240"/>
      <c r="R7" s="240"/>
      <c r="S7" s="241"/>
    </row>
    <row r="8" spans="1:26" ht="15.6">
      <c r="A8" s="73" t="s">
        <v>356</v>
      </c>
      <c r="B8" s="124">
        <v>0.02</v>
      </c>
      <c r="J8" s="251" t="s">
        <v>357</v>
      </c>
      <c r="K8" s="252"/>
      <c r="L8" s="252"/>
      <c r="M8" s="252"/>
      <c r="N8" s="252"/>
      <c r="O8" s="252"/>
      <c r="P8" s="252"/>
      <c r="Q8" s="252"/>
      <c r="R8" s="252"/>
      <c r="S8" s="253"/>
    </row>
    <row r="9" spans="1:26" ht="15" thickBot="1">
      <c r="A9" s="74" t="s">
        <v>392</v>
      </c>
      <c r="B9" s="126">
        <f>Process_CSCF!L12</f>
        <v>7.4084340491197775E-2</v>
      </c>
      <c r="J9" s="254"/>
      <c r="K9" s="255"/>
      <c r="L9" s="255"/>
      <c r="M9" s="255"/>
      <c r="N9" s="255"/>
      <c r="O9" s="255"/>
      <c r="P9" s="255"/>
      <c r="Q9" s="255"/>
      <c r="R9" s="255"/>
      <c r="S9" s="256"/>
    </row>
    <row r="10" spans="1:26">
      <c r="A10" s="107"/>
      <c r="B10" s="59"/>
    </row>
    <row r="12" spans="1:26">
      <c r="A12" s="75"/>
      <c r="B12" s="59"/>
    </row>
    <row r="13" spans="1:26">
      <c r="A13" s="63" t="s">
        <v>358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</row>
    <row r="14" spans="1:26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</row>
    <row r="15" spans="1:26">
      <c r="A15" s="76" t="s">
        <v>359</v>
      </c>
      <c r="B15" s="76" t="s">
        <v>360</v>
      </c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</row>
    <row r="16" spans="1:26">
      <c r="A16" s="78" t="s">
        <v>361</v>
      </c>
      <c r="B16" s="196">
        <f>ROUND((B37-B5) / B5, 3)</f>
        <v>-0.126</v>
      </c>
      <c r="C16" s="109" t="str" cm="1">
        <f t="array" ref="C16">_xlfn.IFS(B16&gt;0.1,"BUY",B16&lt;-0.1,"SELL",TRUE,"HOLD")</f>
        <v>SELL</v>
      </c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spans="1:26">
      <c r="A17" s="78" t="s">
        <v>362</v>
      </c>
      <c r="B17" s="197"/>
      <c r="M17" s="114"/>
      <c r="N17" s="115"/>
      <c r="O17" s="116"/>
      <c r="P17" s="117"/>
      <c r="Q17" s="117"/>
      <c r="R17" s="117"/>
      <c r="S17" s="118"/>
      <c r="T17" s="119"/>
      <c r="U17" s="117"/>
      <c r="V17" s="118"/>
      <c r="W17" s="117"/>
      <c r="X17" s="117"/>
      <c r="Y17" s="35"/>
      <c r="Z17" s="35"/>
    </row>
    <row r="18" spans="1:26">
      <c r="A18" s="78" t="s">
        <v>363</v>
      </c>
      <c r="B18" s="197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spans="1:26">
      <c r="A19" s="78" t="s">
        <v>364</v>
      </c>
      <c r="B19" s="197"/>
      <c r="M19" s="120"/>
      <c r="N19" s="121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spans="1:26">
      <c r="A20" s="78" t="s">
        <v>365</v>
      </c>
      <c r="B20" s="197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2" spans="1:26">
      <c r="A22" s="63" t="s">
        <v>343</v>
      </c>
      <c r="B22" s="67"/>
      <c r="C22" s="68"/>
      <c r="D22" s="68"/>
      <c r="E22" s="68"/>
      <c r="F22" s="68"/>
      <c r="G22" s="68"/>
      <c r="H22" s="68"/>
      <c r="I22" s="68"/>
    </row>
    <row r="23" spans="1:26">
      <c r="A23" s="67"/>
      <c r="B23" s="67"/>
      <c r="C23" s="67"/>
      <c r="D23" s="67"/>
      <c r="E23" s="67"/>
      <c r="F23" s="67"/>
      <c r="G23" s="67"/>
      <c r="H23" s="67"/>
      <c r="I23" s="68"/>
    </row>
    <row r="24" spans="1:26">
      <c r="A24" s="60" t="s">
        <v>340</v>
      </c>
      <c r="B24" s="79" t="s">
        <v>366</v>
      </c>
      <c r="C24" s="79" t="s">
        <v>367</v>
      </c>
      <c r="D24" s="79" t="s">
        <v>368</v>
      </c>
      <c r="E24" s="79" t="s">
        <v>369</v>
      </c>
      <c r="F24" s="79" t="s">
        <v>370</v>
      </c>
      <c r="G24" s="79" t="s">
        <v>371</v>
      </c>
      <c r="H24" s="80" t="s">
        <v>372</v>
      </c>
    </row>
    <row r="25" spans="1:26">
      <c r="A25" s="61"/>
      <c r="B25" s="90"/>
      <c r="C25" s="91"/>
      <c r="D25" s="91"/>
      <c r="E25" s="91"/>
      <c r="F25" s="91"/>
      <c r="G25" s="91"/>
      <c r="H25" s="92"/>
    </row>
    <row r="26" spans="1:26">
      <c r="A26" s="61" t="s">
        <v>332</v>
      </c>
      <c r="B26" s="93">
        <f>Process_CSCF!K5</f>
        <v>78.53</v>
      </c>
      <c r="C26" s="93">
        <f>Process_CSCF!L5</f>
        <v>82.456500000000005</v>
      </c>
      <c r="D26" s="93">
        <f>Process_CSCF!M5</f>
        <v>86.167042499999994</v>
      </c>
      <c r="E26" s="93">
        <f>Process_CSCF!N5</f>
        <v>89.613724199999993</v>
      </c>
      <c r="F26" s="93">
        <f>Process_CSCF!O5</f>
        <v>92.750204546999981</v>
      </c>
      <c r="G26" s="93">
        <f>Process_CSCF!P5</f>
        <v>95.532710683409988</v>
      </c>
      <c r="H26" s="94"/>
    </row>
    <row r="27" spans="1:26">
      <c r="A27" s="61" t="s">
        <v>341</v>
      </c>
      <c r="B27" s="122" cm="1">
        <f t="array" ref="B27:H27">Process_CSCF!K5:Q5</f>
        <v>78.53</v>
      </c>
      <c r="C27" s="122">
        <v>82.456500000000005</v>
      </c>
      <c r="D27" s="122">
        <v>86.167042499999994</v>
      </c>
      <c r="E27" s="122">
        <v>89.613724199999993</v>
      </c>
      <c r="F27" s="122">
        <v>92.750204546999981</v>
      </c>
      <c r="G27" s="122">
        <v>95.532710683409988</v>
      </c>
      <c r="H27" s="123">
        <v>1801.692763785057</v>
      </c>
    </row>
    <row r="28" spans="1:26">
      <c r="A28" s="62" t="s">
        <v>342</v>
      </c>
      <c r="B28" s="95">
        <f>B27/(1+$B$9)^0</f>
        <v>78.53</v>
      </c>
      <c r="C28" s="96">
        <f>C27/(1+$B$9)^1</f>
        <v>76.769111038609125</v>
      </c>
      <c r="D28" s="96">
        <f>D27/(1+$B$9)^2</f>
        <v>74.690336699871082</v>
      </c>
      <c r="E28" s="96">
        <f>E27/(1+$B$9)^3</f>
        <v>72.320158892124255</v>
      </c>
      <c r="F28" s="96">
        <f>F27/(1+$B$9)^4</f>
        <v>69.688535277516252</v>
      </c>
      <c r="G28" s="96">
        <f>G27/(1+$B$9)^5</f>
        <v>66.828263507701692</v>
      </c>
      <c r="H28" s="96">
        <f>H27/(1+$B$9)^5</f>
        <v>1260.3431632664458</v>
      </c>
    </row>
    <row r="29" spans="1:26">
      <c r="B29" s="84"/>
    </row>
    <row r="31" spans="1:26">
      <c r="A31" s="63" t="s">
        <v>343</v>
      </c>
      <c r="B31" s="67"/>
      <c r="C31" s="68"/>
      <c r="D31" s="68"/>
      <c r="E31" s="68"/>
      <c r="F31" s="68"/>
      <c r="G31" s="68"/>
      <c r="H31" s="68"/>
      <c r="I31" s="68"/>
    </row>
    <row r="32" spans="1:26">
      <c r="A32" s="63"/>
      <c r="B32" s="67"/>
      <c r="C32" s="68"/>
      <c r="D32" s="68"/>
      <c r="E32" s="68"/>
      <c r="F32" s="68"/>
      <c r="G32" s="68"/>
      <c r="H32" s="68"/>
      <c r="I32" s="68"/>
    </row>
    <row r="33" spans="1:11">
      <c r="A33" s="64" t="s">
        <v>321</v>
      </c>
      <c r="B33" s="85">
        <f>SUM(B28:H28)</f>
        <v>1699.1695686822682</v>
      </c>
      <c r="C33" s="84"/>
      <c r="F33" s="86"/>
      <c r="G33" s="86"/>
      <c r="H33" s="86"/>
      <c r="I33" s="86"/>
    </row>
    <row r="34" spans="1:11">
      <c r="A34" s="64" t="s">
        <v>344</v>
      </c>
      <c r="B34" s="87">
        <f>'Balance Sheet'!K19</f>
        <v>41.88</v>
      </c>
      <c r="C34" s="84"/>
      <c r="F34" s="86"/>
      <c r="G34" s="86"/>
      <c r="H34" s="86"/>
      <c r="I34" s="86"/>
    </row>
    <row r="35" spans="1:11">
      <c r="A35" s="64" t="s">
        <v>345</v>
      </c>
      <c r="B35" s="87">
        <f>'Balance Sheet'!K103+'Balance Sheet'!K94</f>
        <v>319.64999999999998</v>
      </c>
      <c r="C35" s="84"/>
      <c r="F35" s="86"/>
      <c r="G35" s="86"/>
      <c r="H35" s="86"/>
      <c r="I35" s="86"/>
    </row>
    <row r="36" spans="1:11">
      <c r="A36" s="64" t="s">
        <v>394</v>
      </c>
      <c r="B36" s="175">
        <f>B33+B34-B35</f>
        <v>1421.3995686822682</v>
      </c>
      <c r="C36" s="84"/>
    </row>
    <row r="37" spans="1:11">
      <c r="A37" s="65" t="s">
        <v>346</v>
      </c>
      <c r="B37" s="174">
        <f>B36/B6</f>
        <v>35.183157640650201</v>
      </c>
      <c r="C37" s="89"/>
    </row>
    <row r="38" spans="1:11">
      <c r="A38" s="66" t="s">
        <v>347</v>
      </c>
      <c r="B38" s="176" t="s">
        <v>428</v>
      </c>
    </row>
    <row r="40" spans="1:11">
      <c r="A40" s="63" t="s">
        <v>373</v>
      </c>
      <c r="B40" s="67"/>
      <c r="C40" s="68"/>
      <c r="D40" s="68"/>
      <c r="E40" s="68"/>
      <c r="F40" s="68"/>
      <c r="G40" s="68"/>
      <c r="H40" s="68"/>
      <c r="I40" s="68"/>
    </row>
    <row r="41" spans="1:11">
      <c r="A41" s="63" t="s">
        <v>396</v>
      </c>
      <c r="B41" s="67"/>
      <c r="C41" s="68"/>
      <c r="D41" s="68"/>
      <c r="E41" s="68"/>
      <c r="F41" s="68"/>
      <c r="G41" s="112"/>
      <c r="H41" s="68"/>
      <c r="I41" s="68"/>
    </row>
    <row r="42" spans="1:11">
      <c r="B42" s="220">
        <f>B37</f>
        <v>35.183157640650201</v>
      </c>
      <c r="C42" s="216">
        <v>5.5E-2</v>
      </c>
      <c r="D42" s="216">
        <v>0.06</v>
      </c>
      <c r="E42" s="217">
        <v>7.4099999999999999E-2</v>
      </c>
      <c r="F42" s="216">
        <v>0.08</v>
      </c>
      <c r="G42" s="216">
        <v>8.5000000000000006E-2</v>
      </c>
      <c r="H42" s="216">
        <v>0.09</v>
      </c>
      <c r="I42" s="59"/>
    </row>
    <row r="43" spans="1:11">
      <c r="B43" s="218">
        <v>0</v>
      </c>
      <c r="C43" s="54">
        <f t="dataTable" ref="C43:H51" dt2D="1" dtr="1" r1="B9" r2="B8"/>
        <v>28.892736497253637</v>
      </c>
      <c r="D43" s="54">
        <v>28.191396130690016</v>
      </c>
      <c r="E43" s="54">
        <v>26.312668094126288</v>
      </c>
      <c r="F43" s="54">
        <v>25.567676859865998</v>
      </c>
      <c r="G43" s="54">
        <v>24.954344621980866</v>
      </c>
      <c r="H43" s="54">
        <v>24.356996466117508</v>
      </c>
      <c r="I43" s="54"/>
      <c r="J43" s="54"/>
      <c r="K43" s="54"/>
    </row>
    <row r="44" spans="1:11">
      <c r="B44" s="218">
        <v>5.0000000000000001E-3</v>
      </c>
      <c r="C44" s="54">
        <v>30.791237328492048</v>
      </c>
      <c r="D44" s="54">
        <v>30.045541425845343</v>
      </c>
      <c r="E44" s="177">
        <v>28.048267556295094</v>
      </c>
      <c r="F44" s="54">
        <v>27.256383893878056</v>
      </c>
      <c r="G44" s="54">
        <v>26.604498327125899</v>
      </c>
      <c r="H44" s="54">
        <v>25.9696482454308</v>
      </c>
      <c r="I44" s="54"/>
      <c r="J44" s="54"/>
      <c r="K44" s="54"/>
    </row>
    <row r="45" spans="1:11">
      <c r="B45" s="218">
        <v>0.01</v>
      </c>
      <c r="C45" s="54">
        <v>32.985988509923146</v>
      </c>
      <c r="D45" s="54">
        <v>32.189015639882186</v>
      </c>
      <c r="E45" s="54">
        <v>30.054697528517643</v>
      </c>
      <c r="F45" s="54">
        <v>29.20860413892861</v>
      </c>
      <c r="G45" s="54">
        <v>28.512149213719148</v>
      </c>
      <c r="H45" s="54">
        <v>27.833945242117423</v>
      </c>
      <c r="I45" s="54"/>
      <c r="J45" s="54"/>
      <c r="K45" s="54"/>
    </row>
    <row r="46" spans="1:11">
      <c r="B46" s="218">
        <v>1.4999999999999999E-2</v>
      </c>
      <c r="C46" s="54">
        <v>35.552200413972948</v>
      </c>
      <c r="D46" s="54">
        <v>34.695271971180048</v>
      </c>
      <c r="E46" s="54">
        <v>32.400714937198316</v>
      </c>
      <c r="F46" s="54">
        <v>31.491236846709693</v>
      </c>
      <c r="G46" s="54">
        <v>30.742669217701867</v>
      </c>
      <c r="H46" s="54">
        <v>30.013773728398039</v>
      </c>
      <c r="I46" s="54"/>
      <c r="J46" s="54"/>
      <c r="K46" s="54"/>
    </row>
    <row r="47" spans="1:11">
      <c r="A47" s="110"/>
      <c r="B47" s="219">
        <v>0.02</v>
      </c>
      <c r="C47" s="54">
        <v>38.592895667684303</v>
      </c>
      <c r="D47" s="54">
        <v>37.664926082414944</v>
      </c>
      <c r="E47" s="113">
        <v>35.18050252544927</v>
      </c>
      <c r="F47" s="54">
        <v>34.195920130877589</v>
      </c>
      <c r="G47" s="215">
        <v>33.385604346603365</v>
      </c>
      <c r="H47" s="54">
        <v>32.596644660326184</v>
      </c>
      <c r="I47" s="54"/>
      <c r="J47" s="54"/>
      <c r="K47" s="54"/>
    </row>
    <row r="48" spans="1:11">
      <c r="B48" s="218">
        <v>2.5000000000000001E-2</v>
      </c>
      <c r="C48" s="54">
        <v>42.253074696319047</v>
      </c>
      <c r="D48" s="54">
        <v>41.239590688140936</v>
      </c>
      <c r="E48" s="54">
        <v>38.526618918454041</v>
      </c>
      <c r="F48" s="54">
        <v>37.451631147536453</v>
      </c>
      <c r="G48" s="54">
        <v>36.566987196805208</v>
      </c>
      <c r="H48" s="54">
        <v>35.705726376810212</v>
      </c>
      <c r="I48" s="54"/>
      <c r="J48" s="54"/>
      <c r="K48" s="54"/>
    </row>
    <row r="49" spans="2:11">
      <c r="B49" s="218">
        <v>0.03</v>
      </c>
      <c r="C49" s="54">
        <v>46.743521114201826</v>
      </c>
      <c r="D49" s="54">
        <v>45.625124769489382</v>
      </c>
      <c r="E49" s="54">
        <v>42.631761386414581</v>
      </c>
      <c r="F49" s="54">
        <v>41.445860871832316</v>
      </c>
      <c r="G49" s="54">
        <v>40.470028308138808</v>
      </c>
      <c r="H49" s="54">
        <v>39.520065715806439</v>
      </c>
      <c r="I49" s="54"/>
      <c r="J49" s="54"/>
      <c r="K49" s="54"/>
    </row>
    <row r="50" spans="2:11">
      <c r="B50" s="218">
        <v>3.5000000000000003E-2</v>
      </c>
      <c r="C50" s="54">
        <v>52.382879439372395</v>
      </c>
      <c r="D50" s="54">
        <v>51.132728208087499</v>
      </c>
      <c r="E50" s="54">
        <v>47.787233069699887</v>
      </c>
      <c r="F50" s="54">
        <v>46.462042015570802</v>
      </c>
      <c r="G50" s="54">
        <v>45.371689598879705</v>
      </c>
      <c r="H50" s="54">
        <v>44.310330269622469</v>
      </c>
      <c r="I50" s="54"/>
      <c r="J50" s="54"/>
      <c r="K50" s="54"/>
    </row>
    <row r="51" spans="2:11">
      <c r="B51" s="218">
        <v>0.04</v>
      </c>
      <c r="C51" s="54">
        <v>59.676768333097456</v>
      </c>
      <c r="D51" s="54">
        <v>58.256206667069357</v>
      </c>
      <c r="E51" s="54">
        <v>54.455267885787116</v>
      </c>
      <c r="F51" s="54">
        <v>52.949919859743879</v>
      </c>
      <c r="G51" s="54">
        <v>51.711448626030297</v>
      </c>
      <c r="H51" s="54">
        <v>50.506009886421175</v>
      </c>
      <c r="I51" s="54"/>
      <c r="J51" s="54"/>
      <c r="K51" s="54"/>
    </row>
    <row r="52" spans="2:11">
      <c r="B52" s="111"/>
    </row>
    <row r="53" spans="2:11">
      <c r="B53" s="111"/>
    </row>
    <row r="54" spans="2:11">
      <c r="B54" s="111"/>
    </row>
    <row r="55" spans="2:11">
      <c r="B55" s="111"/>
    </row>
  </sheetData>
  <mergeCells count="4">
    <mergeCell ref="J8:S9"/>
    <mergeCell ref="J2:S3"/>
    <mergeCell ref="J4:S5"/>
    <mergeCell ref="J6:S7"/>
  </mergeCells>
  <conditionalFormatting sqref="C43:H5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E9F2A-11DC-4C01-9F83-F5DB126E3A6C}">
  <dimension ref="A1:W45"/>
  <sheetViews>
    <sheetView zoomScale="70" zoomScaleNormal="70" workbookViewId="0">
      <selection activeCell="A20" sqref="A20"/>
    </sheetView>
  </sheetViews>
  <sheetFormatPr defaultRowHeight="14.4"/>
  <cols>
    <col min="1" max="1" width="33.88671875" bestFit="1" customWidth="1"/>
    <col min="2" max="2" width="13.6640625" bestFit="1" customWidth="1"/>
  </cols>
  <sheetData>
    <row r="1" spans="1:23">
      <c r="A1" s="257" t="s">
        <v>405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</row>
    <row r="2" spans="1:23">
      <c r="A2" s="245" t="s">
        <v>426</v>
      </c>
      <c r="B2" s="246"/>
      <c r="C2" s="246"/>
      <c r="D2" s="246"/>
      <c r="E2" s="246"/>
      <c r="F2" s="246"/>
      <c r="G2" s="246"/>
      <c r="H2" s="246"/>
      <c r="I2" s="246"/>
      <c r="J2" s="246"/>
      <c r="K2" s="247"/>
      <c r="L2" s="249" t="s">
        <v>427</v>
      </c>
      <c r="M2" s="250"/>
      <c r="N2" s="250"/>
      <c r="O2" s="250"/>
      <c r="P2" s="250"/>
      <c r="Q2" s="155"/>
      <c r="R2" s="35"/>
      <c r="S2" s="35"/>
      <c r="T2" s="35"/>
      <c r="U2" s="35"/>
    </row>
    <row r="3" spans="1:23">
      <c r="A3" s="38"/>
      <c r="B3" s="41">
        <v>2015</v>
      </c>
      <c r="C3" s="41">
        <v>2016</v>
      </c>
      <c r="D3" s="41">
        <v>2017</v>
      </c>
      <c r="E3" s="41">
        <v>2018</v>
      </c>
      <c r="F3" s="41">
        <v>2019</v>
      </c>
      <c r="G3" s="41">
        <v>2020</v>
      </c>
      <c r="H3" s="41">
        <v>2021</v>
      </c>
      <c r="I3" s="41">
        <v>2022</v>
      </c>
      <c r="J3" s="41">
        <v>2023</v>
      </c>
      <c r="K3" s="41">
        <v>2024</v>
      </c>
      <c r="L3" s="58">
        <v>2025</v>
      </c>
      <c r="M3" s="58">
        <v>2026</v>
      </c>
      <c r="N3" s="58">
        <v>2027</v>
      </c>
      <c r="O3" s="58">
        <v>2028</v>
      </c>
      <c r="P3" s="167">
        <v>2029</v>
      </c>
      <c r="Q3" s="168"/>
      <c r="R3" s="35"/>
      <c r="S3" s="35"/>
      <c r="T3" s="35"/>
      <c r="U3" s="35"/>
    </row>
    <row r="4" spans="1:23">
      <c r="A4" s="44" t="s">
        <v>406</v>
      </c>
      <c r="B4" s="55" cm="1">
        <f t="array" ref="B4:K4">'Income Statement'!B20:K20</f>
        <v>416.41</v>
      </c>
      <c r="C4" s="55">
        <v>442.89</v>
      </c>
      <c r="D4" s="55">
        <v>476.56</v>
      </c>
      <c r="E4" s="55">
        <v>510.43</v>
      </c>
      <c r="F4" s="55">
        <v>525.72</v>
      </c>
      <c r="G4" s="55">
        <v>561.16</v>
      </c>
      <c r="H4" s="55">
        <v>625.39</v>
      </c>
      <c r="I4" s="55">
        <v>735.45</v>
      </c>
      <c r="J4" s="55">
        <v>772.84</v>
      </c>
      <c r="K4" s="55">
        <v>519.73</v>
      </c>
      <c r="Q4" s="35"/>
      <c r="R4" s="35"/>
      <c r="S4" s="35"/>
      <c r="T4" s="35"/>
      <c r="U4" s="35"/>
    </row>
    <row r="5" spans="1:23">
      <c r="A5" t="s">
        <v>465</v>
      </c>
      <c r="B5" s="48">
        <f>(C4-B4)/B4</f>
        <v>6.3591172162051721E-2</v>
      </c>
      <c r="C5" s="48">
        <f t="shared" ref="C5:I5" si="0">(D4-C4)/C4</f>
        <v>7.6023391812865534E-2</v>
      </c>
      <c r="D5" s="48">
        <f t="shared" si="0"/>
        <v>7.1071848245761293E-2</v>
      </c>
      <c r="E5" s="48">
        <f t="shared" si="0"/>
        <v>2.9955135865838645E-2</v>
      </c>
      <c r="F5" s="48">
        <f t="shared" si="0"/>
        <v>6.7412310735752753E-2</v>
      </c>
      <c r="G5" s="48">
        <f t="shared" si="0"/>
        <v>0.11445933423622501</v>
      </c>
      <c r="H5" s="48">
        <f t="shared" si="0"/>
        <v>0.17598618462079671</v>
      </c>
      <c r="I5" s="48">
        <f t="shared" si="0"/>
        <v>5.0839622000135948E-2</v>
      </c>
      <c r="J5" s="48">
        <f>(K4-J4)/J4</f>
        <v>-0.3275063402515398</v>
      </c>
      <c r="K5" s="159"/>
      <c r="L5">
        <f>K4*(1+L7)</f>
        <v>547.31918489396185</v>
      </c>
      <c r="M5">
        <f>L5*(1+M7)</f>
        <v>573.63630953219183</v>
      </c>
      <c r="N5">
        <f>M5*(1+N7)</f>
        <v>598.35067701923685</v>
      </c>
      <c r="O5">
        <f>N5*(1+O7)</f>
        <v>621.13807720626244</v>
      </c>
      <c r="P5">
        <f>O5*(1+P7)</f>
        <v>641.68761523446028</v>
      </c>
      <c r="Q5" s="35"/>
      <c r="R5" s="35"/>
      <c r="S5" s="35"/>
      <c r="T5" s="35"/>
      <c r="U5" s="35"/>
    </row>
    <row r="6" spans="1:23">
      <c r="A6" t="s">
        <v>412</v>
      </c>
      <c r="B6" s="158">
        <f>AVERAGE(B5:I5)</f>
        <v>8.1167374959928443E-2</v>
      </c>
      <c r="C6" s="165"/>
      <c r="D6" s="165"/>
      <c r="E6" s="165"/>
      <c r="F6" s="165"/>
      <c r="G6" s="165"/>
      <c r="H6" s="165"/>
      <c r="I6" s="165"/>
      <c r="J6" s="165"/>
      <c r="K6" s="165"/>
      <c r="L6" s="59"/>
      <c r="M6" s="59"/>
      <c r="N6" s="59"/>
      <c r="O6" s="59"/>
      <c r="P6" s="59"/>
      <c r="Q6" s="35"/>
      <c r="S6" s="35"/>
      <c r="T6" s="35"/>
      <c r="U6" s="35"/>
    </row>
    <row r="7" spans="1:23">
      <c r="A7" t="s">
        <v>464</v>
      </c>
      <c r="B7" s="57"/>
      <c r="C7" s="59"/>
      <c r="D7" s="59"/>
      <c r="E7" s="59"/>
      <c r="F7" s="59"/>
      <c r="G7" s="59"/>
      <c r="H7" s="59"/>
      <c r="I7" s="59"/>
      <c r="J7" s="59"/>
      <c r="K7" s="59"/>
      <c r="L7" s="59">
        <f>DCF_Pro_Forma!B10</f>
        <v>5.3083687479964226E-2</v>
      </c>
      <c r="M7" s="59">
        <f>L7-0.5%</f>
        <v>4.8083687479964228E-2</v>
      </c>
      <c r="N7" s="59">
        <f>M7-0.5%</f>
        <v>4.3083687479964231E-2</v>
      </c>
      <c r="O7" s="59">
        <f>N7-0.5%</f>
        <v>3.8083687479964233E-2</v>
      </c>
      <c r="P7" s="59">
        <f>O7-0.5%</f>
        <v>3.3083687479964236E-2</v>
      </c>
      <c r="Q7" s="169"/>
      <c r="S7" s="35"/>
      <c r="T7" s="35"/>
      <c r="U7" s="35"/>
    </row>
    <row r="8" spans="1:23" ht="14.4" customHeight="1">
      <c r="B8" s="57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169"/>
      <c r="S8" s="35"/>
      <c r="T8" s="35"/>
      <c r="U8" s="35"/>
    </row>
    <row r="9" spans="1:23">
      <c r="A9" s="257" t="s">
        <v>407</v>
      </c>
      <c r="B9" s="257"/>
      <c r="C9" s="257"/>
      <c r="D9" s="257"/>
      <c r="E9" s="257"/>
      <c r="F9" s="257"/>
      <c r="G9" s="257"/>
      <c r="H9" s="257"/>
      <c r="I9" s="257"/>
      <c r="J9" s="257"/>
      <c r="K9" s="257"/>
      <c r="L9" s="257"/>
      <c r="M9" s="257"/>
      <c r="N9" s="257"/>
      <c r="O9" s="257"/>
      <c r="P9" s="257"/>
      <c r="Q9" s="35"/>
      <c r="S9" s="35"/>
      <c r="T9" s="35"/>
      <c r="U9" s="35"/>
    </row>
    <row r="10" spans="1:23" ht="14.4" customHeight="1">
      <c r="A10" s="245" t="s">
        <v>426</v>
      </c>
      <c r="B10" s="246"/>
      <c r="C10" s="246"/>
      <c r="D10" s="246"/>
      <c r="E10" s="246"/>
      <c r="F10" s="246"/>
      <c r="G10" s="246"/>
      <c r="H10" s="246"/>
      <c r="I10" s="246"/>
      <c r="J10" s="246"/>
      <c r="K10" s="247"/>
      <c r="L10" s="249" t="s">
        <v>427</v>
      </c>
      <c r="M10" s="250"/>
      <c r="N10" s="250"/>
      <c r="O10" s="250"/>
      <c r="P10" s="250"/>
      <c r="Q10" s="35"/>
      <c r="S10" s="35"/>
      <c r="T10" s="35"/>
      <c r="U10" s="35"/>
    </row>
    <row r="11" spans="1:23">
      <c r="A11" s="38"/>
      <c r="B11" s="41">
        <v>2015</v>
      </c>
      <c r="C11" s="41">
        <v>2016</v>
      </c>
      <c r="D11" s="41">
        <v>2017</v>
      </c>
      <c r="E11" s="41">
        <v>2018</v>
      </c>
      <c r="F11" s="41">
        <v>2019</v>
      </c>
      <c r="G11" s="41">
        <v>2020</v>
      </c>
      <c r="H11" s="41">
        <v>2021</v>
      </c>
      <c r="I11" s="41">
        <v>2022</v>
      </c>
      <c r="J11" s="41">
        <v>2023</v>
      </c>
      <c r="K11" s="41">
        <v>2024</v>
      </c>
      <c r="L11" s="58">
        <v>2025</v>
      </c>
      <c r="M11" s="58">
        <v>2026</v>
      </c>
      <c r="N11" s="58">
        <v>2027</v>
      </c>
      <c r="O11" s="58">
        <v>2028</v>
      </c>
      <c r="P11" s="167">
        <v>2029</v>
      </c>
      <c r="Q11" s="35"/>
    </row>
    <row r="12" spans="1:23">
      <c r="A12" s="44" t="s">
        <v>407</v>
      </c>
      <c r="B12" s="45" cm="1">
        <f t="array" ref="B12:K12">'Income Statement'!B46:K46</f>
        <v>21.35</v>
      </c>
      <c r="C12" s="55">
        <v>25.63</v>
      </c>
      <c r="D12" s="55">
        <v>141.49</v>
      </c>
      <c r="E12" s="55">
        <v>-11.1</v>
      </c>
      <c r="F12" s="55">
        <v>40.130000000000003</v>
      </c>
      <c r="G12" s="55">
        <v>44.19</v>
      </c>
      <c r="H12" s="55">
        <v>40.549999999999997</v>
      </c>
      <c r="I12" s="55">
        <v>11.08</v>
      </c>
      <c r="J12" s="55">
        <v>47.43</v>
      </c>
      <c r="K12" s="55">
        <v>8.9499999999999993</v>
      </c>
      <c r="L12">
        <f>L5*L15</f>
        <v>32.83915109363771</v>
      </c>
      <c r="M12">
        <f>M5*M15</f>
        <v>34.418178571931506</v>
      </c>
      <c r="N12">
        <f>N5*N15</f>
        <v>35.901040621154209</v>
      </c>
      <c r="O12">
        <f>O5*O15</f>
        <v>37.268284632375746</v>
      </c>
      <c r="P12">
        <f>P5*P15</f>
        <v>38.501256914067618</v>
      </c>
      <c r="S12" s="35"/>
      <c r="T12" s="35"/>
    </row>
    <row r="13" spans="1:23">
      <c r="A13" s="156" t="s">
        <v>414</v>
      </c>
      <c r="B13" s="158">
        <f>B12/B4</f>
        <v>5.1271583295309911E-2</v>
      </c>
      <c r="C13" s="158">
        <f t="shared" ref="C13:K13" si="1">C12/C4</f>
        <v>5.7869899975163133E-2</v>
      </c>
      <c r="D13" s="158">
        <f t="shared" si="1"/>
        <v>0.29689860668121537</v>
      </c>
      <c r="E13" s="158">
        <f t="shared" si="1"/>
        <v>-2.1746370707050915E-2</v>
      </c>
      <c r="F13" s="158">
        <f t="shared" si="1"/>
        <v>7.633340941946283E-2</v>
      </c>
      <c r="G13" s="158">
        <f t="shared" si="1"/>
        <v>7.874759426901419E-2</v>
      </c>
      <c r="H13" s="158">
        <f t="shared" si="1"/>
        <v>6.4839540126960776E-2</v>
      </c>
      <c r="I13" s="158">
        <f t="shared" si="1"/>
        <v>1.50656060915086E-2</v>
      </c>
      <c r="J13" s="158">
        <f t="shared" si="1"/>
        <v>6.1371047047254282E-2</v>
      </c>
      <c r="K13" s="158">
        <f t="shared" si="1"/>
        <v>1.722047986454505E-2</v>
      </c>
      <c r="L13" s="59"/>
      <c r="M13" s="59"/>
      <c r="N13" s="59"/>
      <c r="O13" s="59"/>
      <c r="P13" s="59"/>
      <c r="S13" s="35"/>
      <c r="T13" s="35"/>
    </row>
    <row r="14" spans="1:23">
      <c r="A14" t="s">
        <v>471</v>
      </c>
      <c r="B14" s="59">
        <f>AVERAGE(F13:K13)</f>
        <v>5.2262946136457621E-2</v>
      </c>
      <c r="C14" s="59">
        <f>MEDIAN(F13:K13)</f>
        <v>6.3105293587107536E-2</v>
      </c>
      <c r="D14" s="165"/>
      <c r="E14" s="165"/>
      <c r="F14" s="165"/>
      <c r="G14" s="165"/>
      <c r="H14" s="165"/>
      <c r="I14" s="165"/>
      <c r="J14" s="165"/>
      <c r="K14" s="165"/>
      <c r="L14" s="59"/>
      <c r="M14" s="59"/>
      <c r="N14" s="59"/>
      <c r="O14" s="59"/>
      <c r="P14" s="59"/>
      <c r="S14" s="35"/>
      <c r="T14" s="35"/>
    </row>
    <row r="15" spans="1:23">
      <c r="A15" t="s">
        <v>415</v>
      </c>
      <c r="C15" s="59"/>
      <c r="D15" s="59"/>
      <c r="E15" s="59"/>
      <c r="F15" s="59"/>
      <c r="G15" s="59"/>
      <c r="H15" s="59"/>
      <c r="I15" s="59"/>
      <c r="J15" s="59"/>
      <c r="K15" s="59"/>
      <c r="L15" s="59">
        <v>0.06</v>
      </c>
      <c r="M15" s="59">
        <v>0.06</v>
      </c>
      <c r="N15" s="59">
        <v>0.06</v>
      </c>
      <c r="O15" s="59">
        <v>0.06</v>
      </c>
      <c r="P15" s="59">
        <v>0.06</v>
      </c>
    </row>
    <row r="16" spans="1:23">
      <c r="W16" s="35"/>
    </row>
    <row r="17" spans="1:23">
      <c r="A17" s="257" t="s">
        <v>409</v>
      </c>
      <c r="B17" s="257"/>
      <c r="C17" s="257"/>
      <c r="D17" s="257"/>
      <c r="E17" s="257"/>
      <c r="F17" s="257"/>
      <c r="G17" s="257"/>
      <c r="H17" s="257"/>
      <c r="I17" s="257"/>
      <c r="J17" s="257"/>
      <c r="K17" s="257"/>
      <c r="L17" s="257"/>
      <c r="M17" s="257"/>
      <c r="N17" s="257"/>
      <c r="O17" s="257"/>
      <c r="P17" s="257"/>
      <c r="W17" s="35"/>
    </row>
    <row r="18" spans="1:23">
      <c r="A18" s="245" t="s">
        <v>426</v>
      </c>
      <c r="B18" s="246"/>
      <c r="C18" s="246"/>
      <c r="D18" s="246"/>
      <c r="E18" s="246"/>
      <c r="F18" s="246"/>
      <c r="G18" s="246"/>
      <c r="H18" s="246"/>
      <c r="I18" s="246"/>
      <c r="J18" s="246"/>
      <c r="K18" s="247"/>
      <c r="L18" s="249" t="s">
        <v>427</v>
      </c>
      <c r="M18" s="250"/>
      <c r="N18" s="250"/>
      <c r="O18" s="250"/>
      <c r="P18" s="250"/>
    </row>
    <row r="19" spans="1:23">
      <c r="A19" s="38"/>
      <c r="B19" s="41">
        <v>2015</v>
      </c>
      <c r="C19" s="41">
        <v>2016</v>
      </c>
      <c r="D19" s="41">
        <v>2017</v>
      </c>
      <c r="E19" s="41">
        <v>2018</v>
      </c>
      <c r="F19" s="41">
        <v>2019</v>
      </c>
      <c r="G19" s="41">
        <v>2020</v>
      </c>
      <c r="H19" s="41">
        <v>2021</v>
      </c>
      <c r="I19" s="41">
        <v>2022</v>
      </c>
      <c r="J19" s="41">
        <v>2023</v>
      </c>
      <c r="K19" s="41">
        <v>2024</v>
      </c>
      <c r="L19" s="58">
        <v>2025</v>
      </c>
      <c r="M19" s="58">
        <v>2026</v>
      </c>
      <c r="N19" s="58">
        <v>2027</v>
      </c>
      <c r="O19" s="58">
        <v>2028</v>
      </c>
      <c r="P19" s="58">
        <v>2029</v>
      </c>
    </row>
    <row r="20" spans="1:23">
      <c r="A20" s="44" t="s">
        <v>401</v>
      </c>
      <c r="B20" s="45" cm="1">
        <f t="array" ref="B20:K20">-('Cash Flow'!B40:K40)</f>
        <v>8.61</v>
      </c>
      <c r="C20" s="55">
        <v>10.41</v>
      </c>
      <c r="D20" s="55">
        <v>23.77</v>
      </c>
      <c r="E20" s="55">
        <v>13.52</v>
      </c>
      <c r="F20" s="55">
        <v>15.45</v>
      </c>
      <c r="G20" s="55">
        <v>19.05</v>
      </c>
      <c r="H20" s="55">
        <v>19.55</v>
      </c>
      <c r="I20" s="55">
        <v>14.83</v>
      </c>
      <c r="J20" s="55">
        <v>14.89</v>
      </c>
      <c r="K20" s="55">
        <v>23.59</v>
      </c>
      <c r="L20">
        <f>L12*$B$22</f>
        <v>8.2097877734094276</v>
      </c>
      <c r="M20">
        <f>M12*$B$22</f>
        <v>8.6045446429828765</v>
      </c>
      <c r="N20">
        <f>N12*$B$22</f>
        <v>8.9752601552885523</v>
      </c>
      <c r="O20">
        <f>O12*$B$22</f>
        <v>9.3170711580939365</v>
      </c>
      <c r="P20">
        <f>P12*$B$22</f>
        <v>9.6253142285169044</v>
      </c>
    </row>
    <row r="21" spans="1:23">
      <c r="A21" s="156" t="s">
        <v>416</v>
      </c>
      <c r="B21" s="157">
        <f>B20/B12</f>
        <v>0.40327868852459009</v>
      </c>
      <c r="C21" s="157">
        <f t="shared" ref="C21:K21" si="2">C20/C12</f>
        <v>0.40616465079984393</v>
      </c>
      <c r="D21" s="157">
        <f t="shared" si="2"/>
        <v>0.16799773835606754</v>
      </c>
      <c r="E21" s="157">
        <f t="shared" si="2"/>
        <v>-1.218018018018018</v>
      </c>
      <c r="F21" s="157">
        <f t="shared" si="2"/>
        <v>0.38499875404933959</v>
      </c>
      <c r="G21" s="157">
        <f t="shared" si="2"/>
        <v>0.43109300746775292</v>
      </c>
      <c r="H21" s="157">
        <f t="shared" si="2"/>
        <v>0.48212083847102349</v>
      </c>
      <c r="I21" s="157">
        <f t="shared" si="2"/>
        <v>1.3384476534296028</v>
      </c>
      <c r="J21" s="157">
        <f t="shared" si="2"/>
        <v>0.31393632721905967</v>
      </c>
      <c r="K21" s="157">
        <f t="shared" si="2"/>
        <v>2.6357541899441341</v>
      </c>
    </row>
    <row r="22" spans="1:23">
      <c r="A22" t="s">
        <v>417</v>
      </c>
      <c r="B22" s="59">
        <v>0.25</v>
      </c>
    </row>
    <row r="24" spans="1:23">
      <c r="A24" s="257" t="s">
        <v>408</v>
      </c>
      <c r="B24" s="257"/>
      <c r="C24" s="257"/>
      <c r="D24" s="257"/>
      <c r="E24" s="257"/>
      <c r="F24" s="257"/>
      <c r="G24" s="257"/>
      <c r="H24" s="257"/>
      <c r="I24" s="257"/>
      <c r="J24" s="257"/>
      <c r="K24" s="257"/>
      <c r="L24" s="257"/>
      <c r="M24" s="257"/>
      <c r="N24" s="257"/>
      <c r="O24" s="257"/>
      <c r="P24" s="257"/>
    </row>
    <row r="25" spans="1:23">
      <c r="A25" s="245" t="s">
        <v>426</v>
      </c>
      <c r="B25" s="246"/>
      <c r="C25" s="246"/>
      <c r="D25" s="246"/>
      <c r="E25" s="246"/>
      <c r="F25" s="246"/>
      <c r="G25" s="246"/>
      <c r="H25" s="246"/>
      <c r="I25" s="246"/>
      <c r="J25" s="246"/>
      <c r="K25" s="247"/>
      <c r="L25" s="249" t="s">
        <v>427</v>
      </c>
      <c r="M25" s="250"/>
      <c r="N25" s="250"/>
      <c r="O25" s="250"/>
      <c r="P25" s="250"/>
    </row>
    <row r="26" spans="1:23">
      <c r="A26" s="38"/>
      <c r="B26" s="41">
        <v>2015</v>
      </c>
      <c r="C26" s="41">
        <v>2016</v>
      </c>
      <c r="D26" s="41">
        <v>2017</v>
      </c>
      <c r="E26" s="41">
        <v>2018</v>
      </c>
      <c r="F26" s="41">
        <v>2019</v>
      </c>
      <c r="G26" s="41">
        <v>2020</v>
      </c>
      <c r="H26" s="41">
        <v>2021</v>
      </c>
      <c r="I26" s="41">
        <v>2022</v>
      </c>
      <c r="J26" s="41">
        <v>2023</v>
      </c>
      <c r="K26" s="41">
        <v>2024</v>
      </c>
      <c r="L26" s="58">
        <v>2025</v>
      </c>
      <c r="M26" s="58">
        <v>2026</v>
      </c>
      <c r="N26" s="58">
        <v>2027</v>
      </c>
      <c r="O26" s="58">
        <v>2028</v>
      </c>
      <c r="P26" s="58">
        <v>2029</v>
      </c>
    </row>
    <row r="27" spans="1:23">
      <c r="A27" s="44" t="s">
        <v>418</v>
      </c>
      <c r="B27" s="45">
        <f>'Cash Flow'!B20+'Cash Flow'!B21+'Cash Flow'!B22+'Cash Flow'!B26</f>
        <v>40.590000000000003</v>
      </c>
      <c r="C27" s="45">
        <f>'Cash Flow'!C20+'Cash Flow'!C21+'Cash Flow'!C22+'Cash Flow'!C26</f>
        <v>33.950000000000003</v>
      </c>
      <c r="D27" s="45">
        <f>'Cash Flow'!D20+'Cash Flow'!D21+'Cash Flow'!D22+'Cash Flow'!D26</f>
        <v>36.729999999999997</v>
      </c>
      <c r="E27" s="45">
        <f>'Cash Flow'!E20+'Cash Flow'!E21+'Cash Flow'!E22+'Cash Flow'!E26</f>
        <v>49.120000000000005</v>
      </c>
      <c r="F27" s="45">
        <f>'Cash Flow'!F20+'Cash Flow'!F21+'Cash Flow'!F22+'Cash Flow'!F26</f>
        <v>51.28</v>
      </c>
      <c r="G27" s="45">
        <f>'Cash Flow'!G20+'Cash Flow'!G21+'Cash Flow'!G22+'Cash Flow'!G26</f>
        <v>41.78</v>
      </c>
      <c r="H27" s="45">
        <f>'Cash Flow'!H20+'Cash Flow'!H21+'Cash Flow'!H22+'Cash Flow'!H26</f>
        <v>46.59</v>
      </c>
      <c r="I27" s="45">
        <f>'Cash Flow'!I20+'Cash Flow'!I21+'Cash Flow'!I22+'Cash Flow'!I26</f>
        <v>59.53</v>
      </c>
      <c r="J27" s="45">
        <f>'Cash Flow'!J20+'Cash Flow'!J21+'Cash Flow'!J22+'Cash Flow'!J26</f>
        <v>57.94</v>
      </c>
      <c r="K27" s="45">
        <f>'Cash Flow'!K20+'Cash Flow'!K21+'Cash Flow'!K22+'Cash Flow'!K26</f>
        <v>50.42</v>
      </c>
      <c r="L27">
        <f>L5*L30</f>
        <v>43.785534791516952</v>
      </c>
      <c r="M27">
        <f>M5*M30</f>
        <v>45.890904762575346</v>
      </c>
      <c r="N27">
        <f>N5*N30</f>
        <v>47.86805416153895</v>
      </c>
      <c r="O27">
        <f>O5*O30</f>
        <v>49.691046176500997</v>
      </c>
      <c r="P27">
        <f>P5*P30</f>
        <v>51.335009218756824</v>
      </c>
    </row>
    <row r="28" spans="1:23">
      <c r="A28" s="156" t="s">
        <v>470</v>
      </c>
      <c r="B28" s="158">
        <f>B27/B4</f>
        <v>9.7476045243870227E-2</v>
      </c>
      <c r="C28" s="158">
        <f t="shared" ref="C28:K28" si="3">C27/C4</f>
        <v>7.6655602971392456E-2</v>
      </c>
      <c r="D28" s="158">
        <f t="shared" si="3"/>
        <v>7.7073191203625976E-2</v>
      </c>
      <c r="E28" s="158">
        <f t="shared" si="3"/>
        <v>9.6232588209940642E-2</v>
      </c>
      <c r="F28" s="158">
        <f t="shared" si="3"/>
        <v>9.7542418017195459E-2</v>
      </c>
      <c r="G28" s="158">
        <f t="shared" si="3"/>
        <v>7.4452918953596126E-2</v>
      </c>
      <c r="H28" s="158">
        <f t="shared" si="3"/>
        <v>7.449751355154384E-2</v>
      </c>
      <c r="I28" s="158">
        <f t="shared" si="3"/>
        <v>8.0943639948330953E-2</v>
      </c>
      <c r="J28" s="158">
        <f t="shared" si="3"/>
        <v>7.4970239635629626E-2</v>
      </c>
      <c r="K28" s="158">
        <f t="shared" si="3"/>
        <v>9.7011910030207996E-2</v>
      </c>
    </row>
    <row r="29" spans="1:23">
      <c r="A29" t="s">
        <v>412</v>
      </c>
      <c r="B29" s="158">
        <f>AVERAGE(B28:K28)</f>
        <v>8.4685606776533334E-2</v>
      </c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</row>
    <row r="30" spans="1:23">
      <c r="A30" t="s">
        <v>415</v>
      </c>
      <c r="L30" s="166">
        <v>0.08</v>
      </c>
      <c r="M30" s="166">
        <v>0.08</v>
      </c>
      <c r="N30" s="166">
        <v>0.08</v>
      </c>
      <c r="O30" s="166">
        <v>0.08</v>
      </c>
      <c r="P30" s="166">
        <v>0.08</v>
      </c>
    </row>
    <row r="31" spans="1:23">
      <c r="L31" s="166"/>
      <c r="M31" s="166"/>
      <c r="N31" s="166"/>
      <c r="O31" s="166"/>
      <c r="P31" s="166"/>
    </row>
    <row r="32" spans="1:23">
      <c r="A32" s="257" t="s">
        <v>411</v>
      </c>
      <c r="B32" s="257"/>
      <c r="C32" s="257"/>
      <c r="D32" s="257"/>
      <c r="E32" s="257"/>
      <c r="F32" s="257"/>
      <c r="G32" s="257"/>
      <c r="H32" s="257"/>
      <c r="I32" s="257"/>
      <c r="J32" s="257"/>
      <c r="K32" s="257"/>
      <c r="L32" s="257"/>
      <c r="M32" s="257"/>
      <c r="N32" s="257"/>
      <c r="O32" s="257"/>
      <c r="P32" s="257"/>
    </row>
    <row r="33" spans="1:16">
      <c r="A33" s="245" t="s">
        <v>426</v>
      </c>
      <c r="B33" s="246"/>
      <c r="C33" s="246"/>
      <c r="D33" s="246"/>
      <c r="E33" s="246"/>
      <c r="F33" s="246"/>
      <c r="G33" s="246"/>
      <c r="H33" s="246"/>
      <c r="I33" s="246"/>
      <c r="J33" s="246"/>
      <c r="K33" s="247"/>
      <c r="L33" s="249" t="s">
        <v>427</v>
      </c>
      <c r="M33" s="250"/>
      <c r="N33" s="250"/>
      <c r="O33" s="250"/>
      <c r="P33" s="250"/>
    </row>
    <row r="34" spans="1:16">
      <c r="A34" s="38"/>
      <c r="B34" s="41">
        <v>2015</v>
      </c>
      <c r="C34" s="41">
        <v>2016</v>
      </c>
      <c r="D34" s="41">
        <v>2017</v>
      </c>
      <c r="E34" s="41">
        <v>2018</v>
      </c>
      <c r="F34" s="41">
        <v>2019</v>
      </c>
      <c r="G34" s="41">
        <v>2020</v>
      </c>
      <c r="H34" s="41">
        <v>2021</v>
      </c>
      <c r="I34" s="41">
        <v>2022</v>
      </c>
      <c r="J34" s="41">
        <v>2023</v>
      </c>
      <c r="K34" s="41">
        <v>2024</v>
      </c>
      <c r="L34" s="58">
        <v>2025</v>
      </c>
      <c r="M34" s="58">
        <v>2026</v>
      </c>
      <c r="N34" s="58">
        <v>2027</v>
      </c>
      <c r="O34" s="58">
        <v>2028</v>
      </c>
      <c r="P34" s="58">
        <v>2029</v>
      </c>
    </row>
    <row r="35" spans="1:16">
      <c r="A35" s="44" t="s">
        <v>419</v>
      </c>
      <c r="B35" s="45">
        <f>('Balance Sheet'!B22+'Balance Sheet'!B25+'Balance Sheet'!B26+'Balance Sheet'!B27) - ('Balance Sheet'!B82+'Balance Sheet'!B84+'Balance Sheet'!B85)</f>
        <v>92.35</v>
      </c>
      <c r="C35" s="45">
        <f>('Balance Sheet'!C22+'Balance Sheet'!C25+'Balance Sheet'!C26+'Balance Sheet'!C27) - ('Balance Sheet'!C82+'Balance Sheet'!C84+'Balance Sheet'!C85)</f>
        <v>82.06</v>
      </c>
      <c r="D35" s="45">
        <f>('Balance Sheet'!D22+'Balance Sheet'!D25+'Balance Sheet'!D26+'Balance Sheet'!D27) - ('Balance Sheet'!D82+'Balance Sheet'!D84+'Balance Sheet'!D85)</f>
        <v>2.0300000000000296</v>
      </c>
      <c r="E35" s="45">
        <f>('Balance Sheet'!E22+'Balance Sheet'!E25+'Balance Sheet'!E26+'Balance Sheet'!E27) - ('Balance Sheet'!E82+'Balance Sheet'!E84+'Balance Sheet'!E85)</f>
        <v>-50.119999999999976</v>
      </c>
      <c r="F35" s="45">
        <f>('Balance Sheet'!F22+'Balance Sheet'!F25+'Balance Sheet'!F26+'Balance Sheet'!F27) - ('Balance Sheet'!F82+'Balance Sheet'!F84+'Balance Sheet'!F85)</f>
        <v>-53.22</v>
      </c>
      <c r="G35" s="45">
        <f>('Balance Sheet'!G22+'Balance Sheet'!G25+'Balance Sheet'!G26+'Balance Sheet'!G27) - ('Balance Sheet'!G82+'Balance Sheet'!G84+'Balance Sheet'!G85)</f>
        <v>-68.480000000000018</v>
      </c>
      <c r="H35" s="45">
        <f>('Balance Sheet'!H22+'Balance Sheet'!H25+'Balance Sheet'!H26+'Balance Sheet'!H27) - ('Balance Sheet'!H82+'Balance Sheet'!H84+'Balance Sheet'!H85)</f>
        <v>-141.56</v>
      </c>
      <c r="I35" s="45">
        <f>('Balance Sheet'!I22+'Balance Sheet'!I25+'Balance Sheet'!I26+'Balance Sheet'!I27) - ('Balance Sheet'!I82+'Balance Sheet'!I84+'Balance Sheet'!I85)</f>
        <v>-154.43999999999997</v>
      </c>
      <c r="J35" s="45">
        <f>('Balance Sheet'!J22+'Balance Sheet'!J25+'Balance Sheet'!J26+'Balance Sheet'!J27) - ('Balance Sheet'!J82+'Balance Sheet'!J84+'Balance Sheet'!J85)</f>
        <v>-114.91</v>
      </c>
      <c r="K35" s="45">
        <f>('Balance Sheet'!K22+'Balance Sheet'!K25+'Balance Sheet'!K26+'Balance Sheet'!K27) - ('Balance Sheet'!K82+'Balance Sheet'!K84+'Balance Sheet'!K85)</f>
        <v>-231.37</v>
      </c>
    </row>
    <row r="36" spans="1:16">
      <c r="A36" s="156" t="s">
        <v>420</v>
      </c>
      <c r="B36" s="160">
        <f>C35-B35</f>
        <v>-10.289999999999992</v>
      </c>
      <c r="C36" s="160">
        <f>D35-C35</f>
        <v>-80.029999999999973</v>
      </c>
      <c r="D36" s="160">
        <f t="shared" ref="D36:J36" si="4">E35-D35</f>
        <v>-52.150000000000006</v>
      </c>
      <c r="E36" s="160">
        <f t="shared" si="4"/>
        <v>-3.1000000000000227</v>
      </c>
      <c r="F36" s="160">
        <f>G35-F35</f>
        <v>-15.260000000000019</v>
      </c>
      <c r="G36" s="160">
        <f t="shared" si="4"/>
        <v>-73.079999999999984</v>
      </c>
      <c r="H36" s="160">
        <f t="shared" si="4"/>
        <v>-12.879999999999967</v>
      </c>
      <c r="I36" s="160">
        <f t="shared" si="4"/>
        <v>39.529999999999973</v>
      </c>
      <c r="J36" s="160">
        <f t="shared" si="4"/>
        <v>-116.46000000000001</v>
      </c>
      <c r="K36" s="160"/>
      <c r="L36" s="160">
        <f>L5*$B$37</f>
        <v>2.7365959244698095</v>
      </c>
      <c r="M36" s="160">
        <f>M5*$B$37</f>
        <v>2.8681815476609591</v>
      </c>
      <c r="N36" s="160">
        <f>N5*$B$37</f>
        <v>2.9917533850961844</v>
      </c>
      <c r="O36" s="160">
        <f>O5*$B$37</f>
        <v>3.1056903860313123</v>
      </c>
      <c r="P36" s="160">
        <f>P5*$B$37</f>
        <v>3.2084380761723015</v>
      </c>
    </row>
    <row r="37" spans="1:16">
      <c r="A37" t="s">
        <v>421</v>
      </c>
      <c r="B37" s="59">
        <v>5.0000000000000001E-3</v>
      </c>
    </row>
    <row r="39" spans="1:16">
      <c r="A39" s="257" t="s">
        <v>410</v>
      </c>
      <c r="B39" s="257"/>
      <c r="C39" s="257"/>
      <c r="D39" s="257"/>
      <c r="E39" s="257"/>
      <c r="F39" s="257"/>
      <c r="G39" s="257"/>
      <c r="H39" s="257"/>
      <c r="I39" s="257"/>
      <c r="J39" s="257"/>
      <c r="K39" s="257"/>
      <c r="L39" s="257"/>
      <c r="M39" s="257"/>
      <c r="N39" s="257"/>
      <c r="O39" s="257"/>
      <c r="P39" s="257"/>
    </row>
    <row r="40" spans="1:16">
      <c r="A40" s="245" t="s">
        <v>426</v>
      </c>
      <c r="B40" s="246"/>
      <c r="C40" s="246"/>
      <c r="D40" s="246"/>
      <c r="E40" s="246"/>
      <c r="F40" s="246"/>
      <c r="G40" s="246"/>
      <c r="H40" s="246"/>
      <c r="I40" s="246"/>
      <c r="J40" s="246"/>
      <c r="K40" s="247"/>
      <c r="L40" s="249" t="s">
        <v>427</v>
      </c>
      <c r="M40" s="250"/>
      <c r="N40" s="250"/>
      <c r="O40" s="250"/>
      <c r="P40" s="250"/>
    </row>
    <row r="41" spans="1:16">
      <c r="A41" s="38"/>
      <c r="B41" s="41">
        <v>2015</v>
      </c>
      <c r="C41" s="41">
        <v>2016</v>
      </c>
      <c r="D41" s="41">
        <v>2017</v>
      </c>
      <c r="E41" s="41">
        <v>2018</v>
      </c>
      <c r="F41" s="41">
        <v>2019</v>
      </c>
      <c r="G41" s="41">
        <v>2020</v>
      </c>
      <c r="H41" s="41">
        <v>2021</v>
      </c>
      <c r="I41" s="41">
        <v>2022</v>
      </c>
      <c r="J41" s="41">
        <v>2023</v>
      </c>
      <c r="K41" s="41">
        <v>2024</v>
      </c>
      <c r="L41" s="58">
        <v>2025</v>
      </c>
      <c r="M41" s="58">
        <v>2026</v>
      </c>
      <c r="N41" s="58">
        <v>2027</v>
      </c>
      <c r="O41" s="58">
        <v>2028</v>
      </c>
      <c r="P41" s="58">
        <v>2029</v>
      </c>
    </row>
    <row r="42" spans="1:16">
      <c r="A42" s="44" t="s">
        <v>423</v>
      </c>
      <c r="B42" s="45">
        <f>-('Cash Flow'!B53+'Cash Flow'!B54)</f>
        <v>14.06</v>
      </c>
      <c r="C42" s="45">
        <f>-('Cash Flow'!C53+'Cash Flow'!C54)</f>
        <v>6.83</v>
      </c>
      <c r="D42" s="45">
        <f>-('Cash Flow'!D53+'Cash Flow'!D54)</f>
        <v>12.409999999999998</v>
      </c>
      <c r="E42" s="45">
        <f>-('Cash Flow'!E53+'Cash Flow'!E54)</f>
        <v>12.37</v>
      </c>
      <c r="F42" s="45">
        <f>-('Cash Flow'!F53+'Cash Flow'!F54)</f>
        <v>5.94</v>
      </c>
      <c r="G42" s="45">
        <f>-('Cash Flow'!G53+'Cash Flow'!G54)</f>
        <v>4.3499999999999996</v>
      </c>
      <c r="H42" s="45">
        <f>-('Cash Flow'!H53+'Cash Flow'!H54)</f>
        <v>10.620000000000001</v>
      </c>
      <c r="I42" s="45">
        <f>-('Cash Flow'!I53+'Cash Flow'!I54)</f>
        <v>24.48</v>
      </c>
      <c r="J42" s="45">
        <f>-('Cash Flow'!J53+'Cash Flow'!J54)</f>
        <v>12.49</v>
      </c>
      <c r="K42" s="45">
        <f>-('Cash Flow'!K53+'Cash Flow'!K54)</f>
        <v>7.4499999999999993</v>
      </c>
      <c r="L42">
        <f>L45*L5</f>
        <v>8.2097877734094276</v>
      </c>
      <c r="M42">
        <f>M45*M5</f>
        <v>8.6045446429828765</v>
      </c>
      <c r="N42">
        <f>N45*N5</f>
        <v>8.9752601552885523</v>
      </c>
      <c r="O42">
        <f>O45*O5</f>
        <v>9.3170711580939365</v>
      </c>
      <c r="P42">
        <f>P45*P5</f>
        <v>9.6253142285169044</v>
      </c>
    </row>
    <row r="43" spans="1:16">
      <c r="A43" t="s">
        <v>422</v>
      </c>
      <c r="B43" s="57">
        <f>B42/B4</f>
        <v>3.3764799116255614E-2</v>
      </c>
      <c r="C43" s="57">
        <f t="shared" ref="C43:K43" si="5">C42/C4</f>
        <v>1.5421436474068054E-2</v>
      </c>
      <c r="D43" s="57">
        <f t="shared" si="5"/>
        <v>2.6040792345140167E-2</v>
      </c>
      <c r="E43" s="57">
        <f t="shared" si="5"/>
        <v>2.4234468977136922E-2</v>
      </c>
      <c r="F43" s="57">
        <f t="shared" si="5"/>
        <v>1.1298790230540973E-2</v>
      </c>
      <c r="G43" s="57">
        <f t="shared" si="5"/>
        <v>7.7517998431819802E-3</v>
      </c>
      <c r="H43" s="57">
        <f t="shared" si="5"/>
        <v>1.6981403604151013E-2</v>
      </c>
      <c r="I43" s="57">
        <f t="shared" si="5"/>
        <v>3.3285743422394452E-2</v>
      </c>
      <c r="J43" s="57">
        <f t="shared" si="5"/>
        <v>1.616117178199886E-2</v>
      </c>
      <c r="K43" s="57">
        <f t="shared" si="5"/>
        <v>1.433436592076655E-2</v>
      </c>
      <c r="L43" s="59"/>
      <c r="M43" s="59"/>
      <c r="N43" s="59"/>
      <c r="O43" s="59"/>
      <c r="P43" s="59"/>
    </row>
    <row r="44" spans="1:16">
      <c r="A44" t="s">
        <v>412</v>
      </c>
      <c r="B44" s="57">
        <f>AVERAGE(B43:K43)</f>
        <v>1.992747717156346E-2</v>
      </c>
      <c r="C44" s="59"/>
      <c r="D44" s="59"/>
      <c r="E44" s="59"/>
      <c r="F44" s="59"/>
      <c r="G44" s="59"/>
      <c r="H44" s="59"/>
      <c r="I44" s="59"/>
      <c r="J44" s="59"/>
      <c r="K44" s="59"/>
    </row>
    <row r="45" spans="1:16">
      <c r="A45" t="s">
        <v>415</v>
      </c>
      <c r="L45" s="59">
        <v>1.4999999999999999E-2</v>
      </c>
      <c r="M45" s="59">
        <v>1.4999999999999999E-2</v>
      </c>
      <c r="N45" s="59">
        <v>1.4999999999999999E-2</v>
      </c>
      <c r="O45" s="59">
        <v>1.4999999999999999E-2</v>
      </c>
      <c r="P45" s="59">
        <v>1.4999999999999999E-2</v>
      </c>
    </row>
  </sheetData>
  <mergeCells count="18">
    <mergeCell ref="A1:P1"/>
    <mergeCell ref="A9:P9"/>
    <mergeCell ref="A32:P32"/>
    <mergeCell ref="A10:K10"/>
    <mergeCell ref="L10:P10"/>
    <mergeCell ref="A17:P17"/>
    <mergeCell ref="A2:K2"/>
    <mergeCell ref="L2:P2"/>
    <mergeCell ref="A18:K18"/>
    <mergeCell ref="L18:P18"/>
    <mergeCell ref="A24:P24"/>
    <mergeCell ref="A25:K25"/>
    <mergeCell ref="L25:P25"/>
    <mergeCell ref="A33:K33"/>
    <mergeCell ref="L33:P33"/>
    <mergeCell ref="A39:P39"/>
    <mergeCell ref="A40:K40"/>
    <mergeCell ref="L40:P4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FF8CE-084A-4A8B-ACAB-8B7AF37FAC15}">
  <dimension ref="A1:S85"/>
  <sheetViews>
    <sheetView zoomScale="61" zoomScaleNormal="100" workbookViewId="0">
      <selection activeCell="B4" sqref="B4"/>
    </sheetView>
  </sheetViews>
  <sheetFormatPr defaultRowHeight="14.4"/>
  <cols>
    <col min="1" max="1" width="39.44140625" bestFit="1" customWidth="1"/>
    <col min="2" max="2" width="47.77734375" bestFit="1" customWidth="1"/>
    <col min="3" max="3" width="15.5546875" bestFit="1" customWidth="1"/>
    <col min="4" max="4" width="11.77734375" bestFit="1" customWidth="1"/>
    <col min="8" max="8" width="17.21875" customWidth="1"/>
  </cols>
  <sheetData>
    <row r="1" spans="1:19" ht="15" thickBot="1">
      <c r="A1" s="63" t="s">
        <v>348</v>
      </c>
      <c r="B1" s="67"/>
      <c r="C1" s="68"/>
      <c r="D1" s="68"/>
      <c r="E1" s="68"/>
      <c r="F1" s="68"/>
      <c r="G1" s="68"/>
      <c r="H1" s="68"/>
      <c r="I1" s="68"/>
    </row>
    <row r="2" spans="1:19">
      <c r="A2" s="63"/>
      <c r="B2" s="67"/>
      <c r="C2" s="68"/>
      <c r="D2" s="68"/>
      <c r="E2" s="68"/>
      <c r="F2" s="68"/>
      <c r="G2" s="68"/>
      <c r="H2" s="68"/>
      <c r="I2" s="68"/>
      <c r="J2" s="230" t="s">
        <v>349</v>
      </c>
      <c r="K2" s="231"/>
      <c r="L2" s="231"/>
      <c r="M2" s="231"/>
      <c r="N2" s="231"/>
      <c r="O2" s="231"/>
      <c r="P2" s="231"/>
      <c r="Q2" s="231"/>
      <c r="R2" s="231"/>
      <c r="S2" s="232"/>
    </row>
    <row r="3" spans="1:19">
      <c r="A3" s="69" t="s">
        <v>350</v>
      </c>
      <c r="B3" s="170">
        <f>DCF_CSCF!B3</f>
        <v>46073</v>
      </c>
      <c r="C3" s="71"/>
      <c r="D3" s="71"/>
      <c r="E3" s="71"/>
      <c r="F3" s="71"/>
      <c r="G3" s="71"/>
      <c r="H3" s="71"/>
      <c r="J3" s="233"/>
      <c r="K3" s="234"/>
      <c r="L3" s="234"/>
      <c r="M3" s="234"/>
      <c r="N3" s="234"/>
      <c r="O3" s="234"/>
      <c r="P3" s="234"/>
      <c r="Q3" s="234"/>
      <c r="R3" s="234"/>
      <c r="S3" s="235"/>
    </row>
    <row r="4" spans="1:19">
      <c r="A4" s="69" t="s">
        <v>351</v>
      </c>
      <c r="B4" s="170" t="str">
        <f>'Balance Sheet'!K18</f>
        <v>30-12-2024</v>
      </c>
      <c r="C4" s="71"/>
      <c r="D4" s="71"/>
      <c r="E4" s="71"/>
      <c r="F4" s="71"/>
      <c r="G4" s="71"/>
      <c r="H4" s="71"/>
      <c r="J4" s="236" t="s">
        <v>352</v>
      </c>
      <c r="K4" s="237"/>
      <c r="L4" s="237"/>
      <c r="M4" s="237"/>
      <c r="N4" s="237"/>
      <c r="O4" s="237"/>
      <c r="P4" s="237"/>
      <c r="Q4" s="237"/>
      <c r="R4" s="237"/>
      <c r="S4" s="238"/>
    </row>
    <row r="5" spans="1:19">
      <c r="A5" s="69" t="s">
        <v>353</v>
      </c>
      <c r="B5" s="171">
        <f>DCF_CSCF!B5</f>
        <v>40.25</v>
      </c>
      <c r="C5" s="71"/>
      <c r="D5" s="71"/>
      <c r="E5" s="71"/>
      <c r="F5" s="71"/>
      <c r="G5" s="71"/>
      <c r="H5" s="71"/>
      <c r="J5" s="236"/>
      <c r="K5" s="237"/>
      <c r="L5" s="237"/>
      <c r="M5" s="237"/>
      <c r="N5" s="237"/>
      <c r="O5" s="237"/>
      <c r="P5" s="237"/>
      <c r="Q5" s="237"/>
      <c r="R5" s="237"/>
      <c r="S5" s="238"/>
    </row>
    <row r="6" spans="1:19">
      <c r="A6" s="69" t="s">
        <v>354</v>
      </c>
      <c r="B6" s="172">
        <f>DCF_CSCF!B6</f>
        <v>40.4</v>
      </c>
      <c r="C6" s="71"/>
      <c r="D6" s="161"/>
      <c r="E6" s="71"/>
      <c r="F6" s="71"/>
      <c r="G6" s="71"/>
      <c r="H6" s="71"/>
      <c r="J6" s="239" t="s">
        <v>355</v>
      </c>
      <c r="K6" s="240"/>
      <c r="L6" s="240"/>
      <c r="M6" s="240"/>
      <c r="N6" s="240"/>
      <c r="O6" s="240"/>
      <c r="P6" s="240"/>
      <c r="Q6" s="240"/>
      <c r="R6" s="240"/>
      <c r="S6" s="241"/>
    </row>
    <row r="7" spans="1:19" ht="15.6">
      <c r="A7" s="73" t="s">
        <v>356</v>
      </c>
      <c r="B7" s="198">
        <v>0.02</v>
      </c>
      <c r="C7" s="127"/>
      <c r="D7" s="35"/>
      <c r="E7" s="71"/>
      <c r="F7" s="71"/>
      <c r="G7" s="71"/>
      <c r="H7" s="71"/>
      <c r="J7" s="239"/>
      <c r="K7" s="240"/>
      <c r="L7" s="240"/>
      <c r="M7" s="240"/>
      <c r="N7" s="240"/>
      <c r="O7" s="240"/>
      <c r="P7" s="240"/>
      <c r="Q7" s="240"/>
      <c r="R7" s="240"/>
      <c r="S7" s="241"/>
    </row>
    <row r="8" spans="1:19">
      <c r="A8" s="69" t="s">
        <v>425</v>
      </c>
      <c r="B8" s="199">
        <v>7.4099999999999999E-2</v>
      </c>
      <c r="C8" s="71"/>
      <c r="D8" s="119"/>
      <c r="E8" s="71"/>
      <c r="F8" s="71"/>
      <c r="G8" s="71"/>
      <c r="H8" s="71"/>
    </row>
    <row r="9" spans="1:19">
      <c r="A9" s="69" t="s">
        <v>397</v>
      </c>
      <c r="B9" s="173">
        <v>2.5000000000000001E-2</v>
      </c>
      <c r="C9" s="71"/>
      <c r="D9" s="151"/>
      <c r="E9" s="71"/>
      <c r="F9" s="71"/>
      <c r="G9" s="71"/>
      <c r="H9" s="71"/>
    </row>
    <row r="10" spans="1:19">
      <c r="A10" s="128" t="s">
        <v>398</v>
      </c>
      <c r="B10" s="200">
        <f>(Process_Pro_Forma!B6+B9)/2</f>
        <v>5.3083687479964226E-2</v>
      </c>
      <c r="C10" s="71"/>
      <c r="D10" s="162"/>
      <c r="E10" s="71"/>
      <c r="F10" s="71"/>
      <c r="G10" s="71"/>
      <c r="H10" s="71"/>
    </row>
    <row r="11" spans="1:19">
      <c r="A11" s="129" t="s">
        <v>467</v>
      </c>
      <c r="B11" s="124">
        <v>0.2</v>
      </c>
      <c r="C11" s="130"/>
      <c r="D11" s="71"/>
      <c r="E11" s="71"/>
      <c r="F11" s="71"/>
      <c r="G11" s="71"/>
      <c r="H11" s="71"/>
    </row>
    <row r="12" spans="1:19">
      <c r="A12" s="129"/>
      <c r="B12" s="106"/>
      <c r="C12" s="130"/>
      <c r="D12" s="71"/>
      <c r="E12" s="71"/>
      <c r="F12" s="71"/>
      <c r="G12" s="71"/>
      <c r="H12" s="71"/>
    </row>
    <row r="13" spans="1:19">
      <c r="A13" s="131"/>
      <c r="B13" s="106"/>
      <c r="C13" s="130"/>
      <c r="D13" s="71"/>
      <c r="E13" s="71"/>
      <c r="F13" s="71"/>
      <c r="G13" s="71"/>
      <c r="H13" s="71"/>
    </row>
    <row r="14" spans="1:19">
      <c r="A14" s="132" t="s">
        <v>399</v>
      </c>
      <c r="B14" s="133">
        <f>Process_Pro_Forma!B22</f>
        <v>0.25</v>
      </c>
      <c r="C14" s="130"/>
      <c r="D14" s="71"/>
      <c r="E14" s="71"/>
      <c r="F14" s="71"/>
      <c r="G14" s="71"/>
      <c r="H14" s="71"/>
    </row>
    <row r="15" spans="1:19">
      <c r="A15" s="134"/>
      <c r="B15" s="135"/>
      <c r="C15" s="71"/>
      <c r="D15" s="71"/>
      <c r="E15" s="71"/>
      <c r="F15" s="71"/>
      <c r="G15" s="71"/>
      <c r="H15" s="71"/>
    </row>
    <row r="16" spans="1:19">
      <c r="A16" s="63" t="s">
        <v>358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</row>
    <row r="17" spans="1:19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</row>
    <row r="18" spans="1:19">
      <c r="A18" s="76" t="s">
        <v>359</v>
      </c>
      <c r="B18" s="76" t="s">
        <v>360</v>
      </c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</row>
    <row r="19" spans="1:19">
      <c r="A19" s="78" t="s">
        <v>361</v>
      </c>
      <c r="B19" s="196">
        <f>ROUND((B45-B5) / B5, 3)</f>
        <v>-0.46899999999999997</v>
      </c>
      <c r="C19" s="109" t="str" cm="1">
        <f t="array" ref="C19">_xlfn.IFS(B19&gt;0.1,"BUY",B19&lt;-0.1,"SELL",TRUE,"HOLD")</f>
        <v>SELL</v>
      </c>
    </row>
    <row r="20" spans="1:19">
      <c r="A20" s="78" t="s">
        <v>362</v>
      </c>
      <c r="B20" s="197"/>
    </row>
    <row r="21" spans="1:19">
      <c r="A21" s="78" t="s">
        <v>363</v>
      </c>
      <c r="B21" s="197"/>
    </row>
    <row r="22" spans="1:19">
      <c r="A22" s="78" t="s">
        <v>364</v>
      </c>
      <c r="B22" s="197"/>
    </row>
    <row r="23" spans="1:19">
      <c r="A23" s="78" t="s">
        <v>365</v>
      </c>
      <c r="B23" s="197"/>
    </row>
    <row r="24" spans="1:19">
      <c r="A24" s="134"/>
      <c r="B24" s="135"/>
      <c r="C24" s="71"/>
      <c r="D24" s="71"/>
      <c r="E24" s="71"/>
      <c r="F24" s="71"/>
      <c r="G24" s="71"/>
      <c r="H24" s="71"/>
    </row>
    <row r="25" spans="1:19">
      <c r="A25" s="63" t="s">
        <v>343</v>
      </c>
      <c r="B25" s="67"/>
      <c r="C25" s="68"/>
      <c r="D25" s="68"/>
      <c r="E25" s="68"/>
      <c r="F25" s="68"/>
      <c r="G25" s="68"/>
      <c r="H25" s="68"/>
    </row>
    <row r="26" spans="1:19">
      <c r="A26" s="67"/>
      <c r="B26" s="67"/>
      <c r="C26" s="67"/>
      <c r="D26" s="67"/>
      <c r="E26" s="67"/>
      <c r="F26" s="67"/>
      <c r="G26" s="67"/>
      <c r="H26" s="67"/>
    </row>
    <row r="27" spans="1:19">
      <c r="A27" s="136" t="s">
        <v>340</v>
      </c>
      <c r="B27" s="136" t="s">
        <v>366</v>
      </c>
      <c r="C27" s="136" t="s">
        <v>367</v>
      </c>
      <c r="D27" s="136" t="s">
        <v>368</v>
      </c>
      <c r="E27" s="136" t="s">
        <v>369</v>
      </c>
      <c r="F27" s="136" t="s">
        <v>370</v>
      </c>
      <c r="G27" s="136" t="s">
        <v>371</v>
      </c>
      <c r="H27" s="136" t="s">
        <v>372</v>
      </c>
    </row>
    <row r="28" spans="1:19">
      <c r="A28" s="140" t="s">
        <v>400</v>
      </c>
      <c r="B28" s="141"/>
      <c r="C28" s="209" cm="1">
        <f t="array" ref="C28:G28">Process_Pro_Forma!L12:P12</f>
        <v>32.83915109363771</v>
      </c>
      <c r="D28" s="209">
        <v>34.418178571931506</v>
      </c>
      <c r="E28" s="209">
        <v>35.901040621154209</v>
      </c>
      <c r="F28" s="209">
        <v>37.268284632375746</v>
      </c>
      <c r="G28" s="209">
        <v>38.501256914067618</v>
      </c>
      <c r="H28" s="139"/>
    </row>
    <row r="29" spans="1:19">
      <c r="A29" s="142" t="s">
        <v>382</v>
      </c>
      <c r="B29" s="143"/>
      <c r="C29" s="214">
        <f>$B$14</f>
        <v>0.25</v>
      </c>
      <c r="D29" s="214">
        <f t="shared" ref="D29:G29" si="0">$B$14</f>
        <v>0.25</v>
      </c>
      <c r="E29" s="214">
        <f t="shared" si="0"/>
        <v>0.25</v>
      </c>
      <c r="F29" s="214">
        <f t="shared" si="0"/>
        <v>0.25</v>
      </c>
      <c r="G29" s="214">
        <f t="shared" si="0"/>
        <v>0.25</v>
      </c>
      <c r="H29" s="139"/>
    </row>
    <row r="30" spans="1:19">
      <c r="A30" s="142" t="s">
        <v>424</v>
      </c>
      <c r="B30" s="143"/>
      <c r="C30" s="210">
        <f>C28*(1-C29)</f>
        <v>24.629363320228283</v>
      </c>
      <c r="D30" s="210">
        <f t="shared" ref="D30:G30" si="1">D28*(1-D29)</f>
        <v>25.813633928948629</v>
      </c>
      <c r="E30" s="210">
        <f t="shared" si="1"/>
        <v>26.925780465865657</v>
      </c>
      <c r="F30" s="210">
        <f t="shared" si="1"/>
        <v>27.951213474281808</v>
      </c>
      <c r="G30" s="210">
        <f t="shared" si="1"/>
        <v>28.875942685550712</v>
      </c>
      <c r="H30" s="139"/>
    </row>
    <row r="31" spans="1:19">
      <c r="A31" s="138" t="s">
        <v>402</v>
      </c>
      <c r="B31" s="81"/>
      <c r="C31" s="93" cm="1">
        <f t="array" ref="C31:G31">Process_Pro_Forma!L27:P27</f>
        <v>43.785534791516952</v>
      </c>
      <c r="D31" s="93">
        <v>45.890904762575346</v>
      </c>
      <c r="E31" s="93">
        <v>47.86805416153895</v>
      </c>
      <c r="F31" s="93">
        <v>49.691046176500997</v>
      </c>
      <c r="G31" s="93">
        <v>51.335009218756824</v>
      </c>
      <c r="H31" s="144"/>
    </row>
    <row r="32" spans="1:19">
      <c r="A32" s="138" t="s">
        <v>403</v>
      </c>
      <c r="B32" s="81"/>
      <c r="C32" s="93" cm="1">
        <f t="array" ref="C32:G32">Process_Pro_Forma!L36:P36</f>
        <v>2.7365959244698095</v>
      </c>
      <c r="D32" s="93">
        <v>2.8681815476609591</v>
      </c>
      <c r="E32" s="93">
        <v>2.9917533850961844</v>
      </c>
      <c r="F32" s="93">
        <v>3.1056903860313123</v>
      </c>
      <c r="G32" s="93">
        <v>3.2084380761723015</v>
      </c>
      <c r="H32" s="144"/>
    </row>
    <row r="33" spans="1:9">
      <c r="A33" s="138" t="s">
        <v>404</v>
      </c>
      <c r="B33" s="81"/>
      <c r="C33" s="93" cm="1">
        <f t="array" ref="C33:G33">Process_Pro_Forma!L42:P42</f>
        <v>8.2097877734094276</v>
      </c>
      <c r="D33" s="93">
        <v>8.6045446429828765</v>
      </c>
      <c r="E33" s="93">
        <v>8.9752601552885523</v>
      </c>
      <c r="F33" s="93">
        <v>9.3170711580939365</v>
      </c>
      <c r="G33" s="93">
        <v>9.6253142285169044</v>
      </c>
      <c r="H33" s="144"/>
    </row>
    <row r="34" spans="1:9">
      <c r="A34" s="142" t="s">
        <v>332</v>
      </c>
      <c r="B34" s="145"/>
      <c r="C34" s="211">
        <f>(C30+C31)-(C32+C33)</f>
        <v>57.468514413865989</v>
      </c>
      <c r="D34" s="211">
        <f>(D30+D31)-(D32+D33)</f>
        <v>60.231812500880139</v>
      </c>
      <c r="E34" s="211">
        <f>(E30+E31)-(E32+E33)</f>
        <v>62.826821087019866</v>
      </c>
      <c r="F34" s="211">
        <f>(F30+F31)-(F32+F33)</f>
        <v>65.219498106657554</v>
      </c>
      <c r="G34" s="211">
        <f>(G30+G31)-(G32+G33)</f>
        <v>67.377199599618336</v>
      </c>
      <c r="H34" s="146"/>
      <c r="I34" s="134"/>
    </row>
    <row r="35" spans="1:9">
      <c r="A35" s="137" t="s">
        <v>341</v>
      </c>
      <c r="B35" s="147"/>
      <c r="C35" s="212" cm="1">
        <f t="array" ref="C35:G35">C34:G34</f>
        <v>57.468514413865989</v>
      </c>
      <c r="D35" s="212">
        <v>60.231812500880139</v>
      </c>
      <c r="E35" s="212">
        <v>62.826821087019866</v>
      </c>
      <c r="F35" s="212">
        <v>65.219498106657554</v>
      </c>
      <c r="G35" s="212">
        <v>67.377199599618336</v>
      </c>
      <c r="H35" s="213">
        <f>G35*(1+B7) / (B8-B7)</f>
        <v>1270.3279776637839</v>
      </c>
    </row>
    <row r="36" spans="1:9">
      <c r="A36" s="148" t="s">
        <v>342</v>
      </c>
      <c r="B36" s="149"/>
      <c r="C36" s="163">
        <f>C35/(1+$B$8)^1</f>
        <v>53.503877119324073</v>
      </c>
      <c r="D36" s="163">
        <f>D35/(1+$B$8)^2</f>
        <v>52.207932991058613</v>
      </c>
      <c r="E36" s="163">
        <f>E35/(1+$B$8)^3</f>
        <v>50.700347509561766</v>
      </c>
      <c r="F36" s="163">
        <f>F35/(1+$B$8)^4</f>
        <v>49.000282747641279</v>
      </c>
      <c r="G36" s="163">
        <f>G35/(1+$B$8)^5</f>
        <v>47.12912465179604</v>
      </c>
      <c r="H36" s="163">
        <f>H35/(1+$B$8)^5</f>
        <v>888.5712965773007</v>
      </c>
    </row>
    <row r="37" spans="1:9">
      <c r="A37" s="150"/>
      <c r="B37" s="82"/>
      <c r="C37" s="151"/>
      <c r="D37" s="151"/>
      <c r="E37" s="151"/>
      <c r="F37" s="151"/>
      <c r="G37" s="151"/>
      <c r="H37" s="83"/>
    </row>
    <row r="38" spans="1:9">
      <c r="B38" s="152"/>
      <c r="C38" s="151"/>
      <c r="D38" s="151"/>
      <c r="E38" s="151"/>
      <c r="F38" s="151"/>
      <c r="G38" s="151"/>
      <c r="H38" s="82"/>
    </row>
    <row r="39" spans="1:9">
      <c r="A39" s="63" t="s">
        <v>343</v>
      </c>
      <c r="B39" s="67"/>
      <c r="C39" s="68"/>
      <c r="D39" s="68"/>
      <c r="E39" s="68"/>
      <c r="F39" s="68"/>
      <c r="G39" s="68"/>
      <c r="H39" s="68"/>
      <c r="I39" s="68"/>
    </row>
    <row r="40" spans="1:9">
      <c r="A40" s="63"/>
      <c r="B40" s="67"/>
      <c r="C40" s="68"/>
      <c r="D40" s="68"/>
      <c r="E40" s="68"/>
      <c r="F40" s="68"/>
      <c r="G40" s="68"/>
      <c r="H40" s="68"/>
      <c r="I40" s="67"/>
    </row>
    <row r="41" spans="1:9" ht="15.6">
      <c r="A41" s="153" t="s">
        <v>321</v>
      </c>
      <c r="B41" s="84">
        <f>SUM(C36:H36)</f>
        <v>1141.1128615966825</v>
      </c>
      <c r="C41" s="84"/>
      <c r="D41" s="86"/>
      <c r="E41" s="86"/>
      <c r="F41" s="86"/>
      <c r="G41" s="86"/>
      <c r="H41" s="86"/>
    </row>
    <row r="42" spans="1:9">
      <c r="A42" s="154" t="s">
        <v>344</v>
      </c>
      <c r="B42" s="87">
        <f>DCF_CSCF!B34</f>
        <v>41.88</v>
      </c>
      <c r="C42" s="84"/>
      <c r="D42" s="86"/>
      <c r="E42" s="86"/>
      <c r="F42" s="86"/>
      <c r="G42" s="86"/>
      <c r="H42" s="86"/>
    </row>
    <row r="43" spans="1:9">
      <c r="A43" s="154" t="s">
        <v>345</v>
      </c>
      <c r="B43" s="87">
        <f>DCF_CSCF!B35</f>
        <v>319.64999999999998</v>
      </c>
      <c r="C43" s="84"/>
      <c r="D43" s="86"/>
      <c r="E43" s="86"/>
      <c r="F43" s="86"/>
      <c r="G43" s="86"/>
      <c r="H43" s="86"/>
    </row>
    <row r="44" spans="1:9">
      <c r="A44" s="64" t="s">
        <v>394</v>
      </c>
      <c r="B44" s="84">
        <f>(B41+B42)-B43</f>
        <v>863.34286159668261</v>
      </c>
      <c r="C44" s="84"/>
      <c r="D44" s="86"/>
      <c r="E44" s="86"/>
      <c r="F44" s="86"/>
      <c r="G44" s="86"/>
      <c r="H44" s="86"/>
    </row>
    <row r="45" spans="1:9">
      <c r="A45" s="88" t="s">
        <v>346</v>
      </c>
      <c r="B45" s="174">
        <f>B44/B6</f>
        <v>21.369872811799077</v>
      </c>
      <c r="C45" s="89"/>
      <c r="D45" s="86"/>
      <c r="E45" s="86"/>
      <c r="F45" s="86"/>
      <c r="G45" s="86"/>
      <c r="H45" s="86"/>
    </row>
    <row r="46" spans="1:9">
      <c r="A46" s="66" t="s">
        <v>347</v>
      </c>
      <c r="B46" s="176" t="s">
        <v>428</v>
      </c>
      <c r="D46" s="86"/>
      <c r="E46" s="86"/>
      <c r="F46" s="86"/>
      <c r="G46" s="86"/>
      <c r="H46" s="86"/>
    </row>
    <row r="50" spans="1:11">
      <c r="A50" s="63" t="s">
        <v>373</v>
      </c>
      <c r="B50" s="67"/>
      <c r="C50" s="68"/>
      <c r="D50" s="68"/>
      <c r="E50" s="68"/>
      <c r="F50" s="68"/>
      <c r="G50" s="68"/>
      <c r="H50" s="68"/>
      <c r="I50" s="68"/>
    </row>
    <row r="51" spans="1:11">
      <c r="A51" s="63" t="s">
        <v>396</v>
      </c>
      <c r="B51" s="67"/>
      <c r="C51" s="68"/>
      <c r="D51" s="68"/>
      <c r="E51" s="68"/>
      <c r="F51" s="68"/>
      <c r="G51" s="112"/>
      <c r="H51" s="68"/>
      <c r="I51" s="68"/>
    </row>
    <row r="52" spans="1:11">
      <c r="B52" s="178"/>
      <c r="C52" s="59"/>
      <c r="D52" s="59"/>
      <c r="E52" s="111"/>
      <c r="F52" s="59"/>
      <c r="G52" s="111"/>
      <c r="H52" s="59"/>
      <c r="I52" s="59"/>
      <c r="J52" s="59"/>
      <c r="K52" s="59"/>
    </row>
    <row r="53" spans="1:11">
      <c r="B53" s="59"/>
      <c r="C53" s="177"/>
      <c r="D53" s="177"/>
      <c r="E53" s="177"/>
      <c r="F53" s="177"/>
      <c r="G53" s="54"/>
      <c r="H53" s="54"/>
      <c r="I53" s="54"/>
      <c r="J53" s="54"/>
      <c r="K53" s="54"/>
    </row>
    <row r="54" spans="1:11">
      <c r="B54" s="111"/>
      <c r="C54" s="177"/>
      <c r="D54" s="177"/>
      <c r="E54" s="164"/>
      <c r="F54" s="177"/>
      <c r="G54" s="54"/>
      <c r="H54" s="54"/>
      <c r="I54" s="54"/>
      <c r="J54" s="54"/>
      <c r="K54" s="54"/>
    </row>
    <row r="55" spans="1:11">
      <c r="B55" s="111" t="s">
        <v>432</v>
      </c>
      <c r="C55" s="221" t="s">
        <v>389</v>
      </c>
      <c r="D55" s="221" t="s">
        <v>433</v>
      </c>
      <c r="E55" s="177"/>
      <c r="F55" s="177"/>
      <c r="G55" s="54"/>
      <c r="H55" s="54"/>
      <c r="I55" s="54"/>
      <c r="J55" s="54"/>
      <c r="K55" s="54"/>
    </row>
    <row r="56" spans="1:11">
      <c r="B56" s="111" t="s">
        <v>429</v>
      </c>
      <c r="C56" s="221"/>
      <c r="D56" s="225">
        <f>B45</f>
        <v>21.369872811799077</v>
      </c>
      <c r="E56" s="54"/>
      <c r="F56" s="54"/>
      <c r="G56" s="54"/>
      <c r="H56" s="54"/>
      <c r="I56" s="54"/>
      <c r="J56" s="54"/>
      <c r="K56" s="54"/>
    </row>
    <row r="57" spans="1:11">
      <c r="A57" s="110"/>
      <c r="B57" s="59" t="s">
        <v>430</v>
      </c>
      <c r="C57" s="222">
        <v>6.6699999999999995E-2</v>
      </c>
      <c r="D57" s="225">
        <f t="dataTable" ref="D57:D59" dt2D="0" dtr="0" r1="B8"/>
        <v>25.879714477892239</v>
      </c>
      <c r="E57" s="54"/>
      <c r="F57" s="54"/>
      <c r="G57" s="164"/>
      <c r="H57" s="54"/>
      <c r="I57" s="54"/>
      <c r="J57" s="54"/>
      <c r="K57" s="54"/>
    </row>
    <row r="58" spans="1:11">
      <c r="B58" s="59" t="s">
        <v>395</v>
      </c>
      <c r="C58" s="222">
        <v>7.4099999999999999E-2</v>
      </c>
      <c r="D58" s="226">
        <v>21.369872811799077</v>
      </c>
      <c r="E58" s="54"/>
      <c r="F58" s="54"/>
      <c r="G58" s="54"/>
      <c r="H58" s="54"/>
      <c r="I58" s="54"/>
      <c r="J58" s="54"/>
      <c r="K58" s="54"/>
    </row>
    <row r="59" spans="1:11">
      <c r="B59" s="59" t="s">
        <v>431</v>
      </c>
      <c r="C59" s="222">
        <v>8.1500000000000003E-2</v>
      </c>
      <c r="D59" s="225">
        <v>17.945977134178584</v>
      </c>
      <c r="E59" s="54"/>
      <c r="F59" s="54"/>
      <c r="G59" s="54"/>
      <c r="H59" s="54"/>
      <c r="I59" s="54"/>
      <c r="J59" s="54"/>
      <c r="K59" s="54"/>
    </row>
    <row r="60" spans="1:11">
      <c r="B60" s="59"/>
      <c r="C60" s="221"/>
      <c r="D60" s="225"/>
      <c r="E60" s="54"/>
      <c r="F60" s="54"/>
      <c r="G60" s="54"/>
      <c r="H60" s="54"/>
      <c r="I60" s="54"/>
      <c r="J60" s="54"/>
      <c r="K60" s="54"/>
    </row>
    <row r="61" spans="1:11">
      <c r="B61" s="111" t="s">
        <v>434</v>
      </c>
      <c r="C61" s="221" t="s">
        <v>436</v>
      </c>
      <c r="D61" s="225" t="s">
        <v>433</v>
      </c>
      <c r="E61" s="54"/>
      <c r="F61" s="54"/>
      <c r="G61" s="54"/>
      <c r="H61" s="54"/>
      <c r="I61" s="54"/>
      <c r="J61" s="54"/>
      <c r="K61" s="54"/>
    </row>
    <row r="62" spans="1:11">
      <c r="B62" s="111" t="s">
        <v>429</v>
      </c>
      <c r="C62" s="110"/>
      <c r="D62" s="226">
        <f>B45</f>
        <v>21.369872811799077</v>
      </c>
    </row>
    <row r="63" spans="1:11">
      <c r="B63" s="59" t="s">
        <v>430</v>
      </c>
      <c r="C63" s="222">
        <v>1.7999999999999999E-2</v>
      </c>
      <c r="D63" s="225">
        <f t="dataTable" ref="D63:D65" dt2D="0" dtr="0" r1="B7" ca="1"/>
        <v>20.544172223008637</v>
      </c>
    </row>
    <row r="64" spans="1:11">
      <c r="B64" s="59" t="s">
        <v>395</v>
      </c>
      <c r="C64" s="222">
        <v>0.02</v>
      </c>
      <c r="D64" s="225">
        <v>21.369872811799077</v>
      </c>
    </row>
    <row r="65" spans="2:4">
      <c r="B65" s="59" t="s">
        <v>431</v>
      </c>
      <c r="C65" s="222">
        <v>2.1999999999999999E-2</v>
      </c>
      <c r="D65" s="225">
        <v>22.258966919882443</v>
      </c>
    </row>
    <row r="66" spans="2:4">
      <c r="C66" s="110"/>
      <c r="D66" s="227"/>
    </row>
    <row r="67" spans="2:4">
      <c r="B67" s="111" t="s">
        <v>435</v>
      </c>
      <c r="C67" s="221" t="s">
        <v>438</v>
      </c>
      <c r="D67" s="225" t="s">
        <v>433</v>
      </c>
    </row>
    <row r="68" spans="2:4">
      <c r="B68" s="111" t="s">
        <v>429</v>
      </c>
      <c r="C68" s="110"/>
      <c r="D68" s="226">
        <f>B45</f>
        <v>21.369872811799077</v>
      </c>
    </row>
    <row r="69" spans="2:4">
      <c r="B69" s="59" t="s">
        <v>430</v>
      </c>
      <c r="C69" s="222">
        <v>2.2499999999999999E-2</v>
      </c>
      <c r="D69" s="225">
        <f t="dataTable" ref="D69:D71" dt2D="0" dtr="0" r1="B9" ca="1"/>
        <v>21.216502043316396</v>
      </c>
    </row>
    <row r="70" spans="2:4">
      <c r="B70" s="59" t="s">
        <v>395</v>
      </c>
      <c r="C70" s="222">
        <v>2.5000000000000001E-2</v>
      </c>
      <c r="D70" s="225">
        <v>21.369872811799077</v>
      </c>
    </row>
    <row r="71" spans="2:4">
      <c r="B71" s="59" t="s">
        <v>431</v>
      </c>
      <c r="C71" s="222">
        <v>2.75E-2</v>
      </c>
      <c r="D71" s="225">
        <v>21.523944029519072</v>
      </c>
    </row>
    <row r="72" spans="2:4">
      <c r="C72" s="110"/>
      <c r="D72" s="227"/>
    </row>
    <row r="73" spans="2:4">
      <c r="B73" s="111" t="s">
        <v>466</v>
      </c>
      <c r="C73" s="221" t="s">
        <v>437</v>
      </c>
      <c r="D73" s="225" t="s">
        <v>433</v>
      </c>
    </row>
    <row r="74" spans="2:4">
      <c r="B74" s="111" t="s">
        <v>429</v>
      </c>
      <c r="C74" s="110"/>
      <c r="D74" s="225">
        <f>B45</f>
        <v>21.369872811799077</v>
      </c>
    </row>
    <row r="75" spans="2:4">
      <c r="B75" s="59" t="s">
        <v>430</v>
      </c>
      <c r="C75" s="222">
        <v>4.7800000000000002E-2</v>
      </c>
      <c r="D75" s="228">
        <f t="dataTable" ref="D75:D77" dt2D="0" dtr="0" r1="B10" ca="1"/>
        <v>20.726330271645807</v>
      </c>
    </row>
    <row r="76" spans="2:4">
      <c r="B76" s="59" t="s">
        <v>395</v>
      </c>
      <c r="C76" s="222">
        <v>5.3100000000000001E-2</v>
      </c>
      <c r="D76" s="229">
        <v>21.371878927529988</v>
      </c>
    </row>
    <row r="77" spans="2:4">
      <c r="B77" s="59" t="s">
        <v>431</v>
      </c>
      <c r="C77" s="222">
        <v>5.8400000000000001E-2</v>
      </c>
      <c r="D77" s="229">
        <v>22.03002070275403</v>
      </c>
    </row>
    <row r="78" spans="2:4">
      <c r="C78" s="110"/>
      <c r="D78" s="227"/>
    </row>
    <row r="79" spans="2:4">
      <c r="B79" s="111" t="s">
        <v>468</v>
      </c>
      <c r="C79" s="221" t="s">
        <v>382</v>
      </c>
      <c r="D79" s="225" t="s">
        <v>433</v>
      </c>
    </row>
    <row r="80" spans="2:4">
      <c r="B80" s="111" t="s">
        <v>429</v>
      </c>
      <c r="C80" s="110"/>
      <c r="D80" s="226">
        <f>B45</f>
        <v>21.369872811799077</v>
      </c>
    </row>
    <row r="81" spans="2:4">
      <c r="B81" s="59" t="s">
        <v>430</v>
      </c>
      <c r="C81" s="223">
        <v>0.18</v>
      </c>
      <c r="D81" s="228">
        <f t="dataTable" ref="D81:D83" dt2D="0" dtr="0" r1="B14" ca="1"/>
        <v>22.499687526251233</v>
      </c>
    </row>
    <row r="82" spans="2:4">
      <c r="B82" s="59" t="s">
        <v>469</v>
      </c>
      <c r="C82" s="224">
        <v>0.2</v>
      </c>
      <c r="D82" s="228">
        <v>22.176883322122045</v>
      </c>
    </row>
    <row r="83" spans="2:4">
      <c r="B83" s="59" t="s">
        <v>431</v>
      </c>
      <c r="C83" s="223">
        <v>0.22</v>
      </c>
      <c r="D83" s="228">
        <v>21.854079117992857</v>
      </c>
    </row>
    <row r="85" spans="2:4">
      <c r="C85" s="110"/>
      <c r="D85" s="110"/>
    </row>
  </sheetData>
  <mergeCells count="3">
    <mergeCell ref="J2:S3"/>
    <mergeCell ref="J4:S5"/>
    <mergeCell ref="J6:S7"/>
  </mergeCells>
  <conditionalFormatting sqref="B73:D77 B85:D85 B79:D83 B67:D71 B55:D65">
    <cfRule type="colorScale" priority="7">
      <colorScale>
        <cfvo type="min"/>
        <cfvo type="percentile" val="50"/>
        <cfvo type="max"/>
        <color rgb="FFF8696B"/>
        <color rgb="FFFCFCFF"/>
        <color rgb="FF5A8AC6"/>
      </colorScale>
    </cfRule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{6CBD6596-10CD-4EFA-B54C-CFFB9920F9F7}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BD6596-10CD-4EFA-B54C-CFFB9920F9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B73:D77 B85:D85 B79:D83 B67:D71 B55:D65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A9F5A-18EA-4D93-9524-B4C87CFC5CBF}">
  <dimension ref="A1:R47"/>
  <sheetViews>
    <sheetView tabSelected="1" zoomScale="60" zoomScaleNormal="60" workbookViewId="0">
      <selection activeCell="B4" sqref="B4"/>
    </sheetView>
  </sheetViews>
  <sheetFormatPr defaultRowHeight="14.4"/>
  <cols>
    <col min="1" max="1" width="31.88671875" bestFit="1" customWidth="1"/>
    <col min="2" max="2" width="31.77734375" bestFit="1" customWidth="1"/>
    <col min="3" max="3" width="17" bestFit="1" customWidth="1"/>
    <col min="4" max="4" width="23.21875" customWidth="1"/>
    <col min="5" max="5" width="17.77734375" customWidth="1"/>
    <col min="6" max="6" width="15.6640625" bestFit="1" customWidth="1"/>
    <col min="7" max="7" width="11.44140625" bestFit="1" customWidth="1"/>
  </cols>
  <sheetData>
    <row r="1" spans="1:18" ht="15" thickBot="1">
      <c r="A1" s="63" t="s">
        <v>348</v>
      </c>
      <c r="B1" s="67"/>
      <c r="C1" s="68"/>
      <c r="D1" s="68"/>
      <c r="E1" s="68"/>
      <c r="F1" s="68"/>
      <c r="G1" s="68"/>
    </row>
    <row r="2" spans="1:18">
      <c r="A2" s="63"/>
      <c r="B2" s="67"/>
      <c r="C2" s="68"/>
      <c r="D2" s="68"/>
      <c r="E2" s="68"/>
      <c r="F2" s="68"/>
      <c r="G2" s="68"/>
      <c r="I2" s="230" t="s">
        <v>349</v>
      </c>
      <c r="J2" s="231"/>
      <c r="K2" s="231"/>
      <c r="L2" s="231"/>
      <c r="M2" s="231"/>
      <c r="N2" s="231"/>
      <c r="O2" s="231"/>
      <c r="P2" s="231"/>
      <c r="Q2" s="231"/>
      <c r="R2" s="232"/>
    </row>
    <row r="3" spans="1:18">
      <c r="A3" s="69" t="s">
        <v>350</v>
      </c>
      <c r="B3" s="70">
        <f>DCF_Pro_Forma!B3</f>
        <v>46073</v>
      </c>
      <c r="C3" s="71"/>
      <c r="D3" s="71"/>
      <c r="E3" s="71"/>
      <c r="F3" s="71"/>
      <c r="G3" s="71"/>
      <c r="I3" s="233"/>
      <c r="J3" s="234"/>
      <c r="K3" s="234"/>
      <c r="L3" s="234"/>
      <c r="M3" s="234"/>
      <c r="N3" s="234"/>
      <c r="O3" s="234"/>
      <c r="P3" s="234"/>
      <c r="Q3" s="234"/>
      <c r="R3" s="235"/>
    </row>
    <row r="4" spans="1:18">
      <c r="A4" s="69" t="s">
        <v>351</v>
      </c>
      <c r="B4" s="70" t="str">
        <f>'Balance Sheet'!K18</f>
        <v>30-12-2024</v>
      </c>
      <c r="C4" s="71"/>
      <c r="D4" s="71"/>
      <c r="E4" s="71"/>
      <c r="F4" s="71"/>
      <c r="G4" s="71"/>
      <c r="I4" s="236" t="s">
        <v>352</v>
      </c>
      <c r="J4" s="237"/>
      <c r="K4" s="237"/>
      <c r="L4" s="237"/>
      <c r="M4" s="237"/>
      <c r="N4" s="237"/>
      <c r="O4" s="237"/>
      <c r="P4" s="237"/>
      <c r="Q4" s="237"/>
      <c r="R4" s="238"/>
    </row>
    <row r="5" spans="1:18">
      <c r="A5" s="69" t="s">
        <v>353</v>
      </c>
      <c r="B5" s="206">
        <f>DCF_Pro_Forma!B5</f>
        <v>40.25</v>
      </c>
      <c r="I5" s="236"/>
      <c r="J5" s="237"/>
      <c r="K5" s="237"/>
      <c r="L5" s="237"/>
      <c r="M5" s="237"/>
      <c r="N5" s="237"/>
      <c r="O5" s="237"/>
      <c r="P5" s="237"/>
      <c r="Q5" s="237"/>
      <c r="R5" s="238"/>
    </row>
    <row r="6" spans="1:18">
      <c r="A6" s="69" t="s">
        <v>354</v>
      </c>
      <c r="B6" s="207">
        <f>DCF_Pro_Forma!B6</f>
        <v>40.4</v>
      </c>
      <c r="I6" s="239" t="s">
        <v>355</v>
      </c>
      <c r="J6" s="240"/>
      <c r="K6" s="240"/>
      <c r="L6" s="240"/>
      <c r="M6" s="240"/>
      <c r="N6" s="240"/>
      <c r="O6" s="240"/>
      <c r="P6" s="240"/>
      <c r="Q6" s="240"/>
      <c r="R6" s="241"/>
    </row>
    <row r="7" spans="1:18">
      <c r="A7" s="69" t="s">
        <v>439</v>
      </c>
      <c r="B7" s="179" t="s">
        <v>440</v>
      </c>
      <c r="C7" s="180" t="s">
        <v>441</v>
      </c>
      <c r="D7" s="179" t="s">
        <v>442</v>
      </c>
      <c r="E7" s="179" t="s">
        <v>443</v>
      </c>
      <c r="F7" s="201" t="s">
        <v>444</v>
      </c>
      <c r="G7" s="192"/>
      <c r="I7" s="239"/>
      <c r="J7" s="240"/>
      <c r="K7" s="240"/>
      <c r="L7" s="240"/>
      <c r="M7" s="240"/>
      <c r="N7" s="240"/>
      <c r="O7" s="240"/>
      <c r="P7" s="240"/>
      <c r="Q7" s="240"/>
      <c r="R7" s="241"/>
    </row>
    <row r="8" spans="1:18">
      <c r="A8" s="128" t="s">
        <v>445</v>
      </c>
      <c r="B8" s="187" t="s">
        <v>458</v>
      </c>
      <c r="C8" s="187" t="s">
        <v>459</v>
      </c>
      <c r="D8" s="187" t="s">
        <v>460</v>
      </c>
      <c r="E8" s="187" t="s">
        <v>461</v>
      </c>
      <c r="F8" s="202" t="s">
        <v>462</v>
      </c>
      <c r="G8" s="35"/>
      <c r="H8" s="181"/>
      <c r="I8" s="251" t="s">
        <v>357</v>
      </c>
      <c r="J8" s="252"/>
      <c r="K8" s="252"/>
      <c r="L8" s="252"/>
      <c r="M8" s="252"/>
      <c r="N8" s="252"/>
      <c r="O8" s="252"/>
      <c r="P8" s="252"/>
      <c r="Q8" s="252"/>
      <c r="R8" s="253"/>
    </row>
    <row r="9" spans="1:18" ht="15" thickBot="1">
      <c r="A9" s="182" t="s">
        <v>446</v>
      </c>
      <c r="B9" s="108">
        <v>1.22</v>
      </c>
      <c r="C9" s="108">
        <v>1.47</v>
      </c>
      <c r="D9" s="108">
        <v>1.04</v>
      </c>
      <c r="E9" s="108">
        <v>0.72</v>
      </c>
      <c r="F9" s="203">
        <v>4.41</v>
      </c>
      <c r="G9" s="169"/>
      <c r="H9" s="183"/>
      <c r="I9" s="254"/>
      <c r="J9" s="255"/>
      <c r="K9" s="255"/>
      <c r="L9" s="255"/>
      <c r="M9" s="255"/>
      <c r="N9" s="255"/>
      <c r="O9" s="255"/>
      <c r="P9" s="255"/>
      <c r="Q9" s="255"/>
      <c r="R9" s="256"/>
    </row>
    <row r="10" spans="1:18">
      <c r="A10" s="129" t="s">
        <v>447</v>
      </c>
      <c r="B10" s="108">
        <v>9.26</v>
      </c>
      <c r="C10" s="108">
        <v>14.3</v>
      </c>
      <c r="D10" s="108">
        <v>12.58</v>
      </c>
      <c r="E10" s="108">
        <v>9.7899999999999991</v>
      </c>
      <c r="F10" s="203">
        <v>22.64</v>
      </c>
      <c r="G10" s="169"/>
      <c r="H10" s="53"/>
    </row>
    <row r="11" spans="1:18">
      <c r="A11" s="129" t="s">
        <v>448</v>
      </c>
      <c r="B11" s="204">
        <v>15.24</v>
      </c>
      <c r="C11" s="108">
        <v>25.17</v>
      </c>
      <c r="D11" s="205">
        <v>19.91</v>
      </c>
      <c r="E11" s="108">
        <v>15</v>
      </c>
      <c r="F11" s="203">
        <v>33.82</v>
      </c>
      <c r="G11" s="169"/>
      <c r="H11" s="53"/>
    </row>
    <row r="12" spans="1:18">
      <c r="A12" s="185"/>
      <c r="B12" s="184"/>
      <c r="C12" s="169"/>
      <c r="D12" s="169"/>
      <c r="H12" s="186"/>
    </row>
    <row r="13" spans="1:18">
      <c r="A13" s="185" t="s">
        <v>449</v>
      </c>
      <c r="B13" s="187"/>
      <c r="C13" s="169"/>
      <c r="D13" s="169"/>
      <c r="H13" s="188"/>
    </row>
    <row r="14" spans="1:18">
      <c r="A14" s="129" t="s">
        <v>406</v>
      </c>
      <c r="B14" s="189">
        <f>'Income Statement'!K20</f>
        <v>519.73</v>
      </c>
      <c r="C14" s="169"/>
      <c r="D14" s="169"/>
      <c r="H14" s="186"/>
    </row>
    <row r="15" spans="1:18">
      <c r="A15" s="129" t="s">
        <v>450</v>
      </c>
      <c r="B15" s="189">
        <f>'Income Statement'!K46+'Income Statement'!K34+'Income Statement'!K35+'Income Statement'!K36</f>
        <v>52.969999999999992</v>
      </c>
    </row>
    <row r="16" spans="1:18">
      <c r="A16" s="129" t="s">
        <v>451</v>
      </c>
      <c r="B16" s="190">
        <f>'Income Statement'!K94</f>
        <v>0.28999999999999998</v>
      </c>
    </row>
    <row r="17" spans="1:18">
      <c r="A17" s="191"/>
      <c r="B17" s="192"/>
    </row>
    <row r="18" spans="1:18">
      <c r="A18" s="63" t="s">
        <v>358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</row>
    <row r="19" spans="1:18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</row>
    <row r="20" spans="1:18">
      <c r="A20" s="76" t="s">
        <v>359</v>
      </c>
      <c r="B20" s="76" t="s">
        <v>360</v>
      </c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</row>
    <row r="21" spans="1:18">
      <c r="A21" s="78" t="s">
        <v>361</v>
      </c>
      <c r="B21" s="196">
        <f>ROUND((B46-B5) / B5, 3)</f>
        <v>-0.78100000000000003</v>
      </c>
      <c r="C21" s="109" t="str" cm="1">
        <f t="array" ref="C21">_xlfn.IFS(B21&gt;0.1,"BUY",B21&lt;-0.1,"SELL",TRUE,"HOLD")</f>
        <v>SELL</v>
      </c>
    </row>
    <row r="22" spans="1:18">
      <c r="A22" s="78" t="s">
        <v>362</v>
      </c>
      <c r="B22" s="197"/>
    </row>
    <row r="23" spans="1:18">
      <c r="A23" s="78" t="s">
        <v>363</v>
      </c>
      <c r="B23" s="197"/>
    </row>
    <row r="24" spans="1:18">
      <c r="A24" s="78" t="s">
        <v>364</v>
      </c>
      <c r="B24" s="197"/>
    </row>
    <row r="25" spans="1:18">
      <c r="A25" s="78" t="s">
        <v>365</v>
      </c>
      <c r="B25" s="197"/>
    </row>
    <row r="26" spans="1:18">
      <c r="A26" s="191"/>
      <c r="B26" s="192"/>
    </row>
    <row r="27" spans="1:18">
      <c r="A27" s="191"/>
      <c r="B27" s="192"/>
    </row>
    <row r="28" spans="1:18">
      <c r="A28" s="63" t="s">
        <v>452</v>
      </c>
      <c r="B28" s="67"/>
      <c r="C28" s="68"/>
      <c r="D28" s="68"/>
      <c r="E28" s="68"/>
      <c r="F28" s="68"/>
      <c r="G28" s="68"/>
    </row>
    <row r="29" spans="1:18">
      <c r="A29" s="67"/>
      <c r="B29" s="67"/>
      <c r="C29" s="67"/>
      <c r="D29" s="67"/>
      <c r="E29" s="67"/>
      <c r="F29" s="67"/>
      <c r="G29" s="67"/>
    </row>
    <row r="30" spans="1:18" ht="20.399999999999999">
      <c r="A30" s="60"/>
      <c r="B30" s="79" t="s">
        <v>453</v>
      </c>
      <c r="C30" s="79" t="s">
        <v>454</v>
      </c>
      <c r="D30" s="79" t="s">
        <v>455</v>
      </c>
      <c r="F30" s="193"/>
      <c r="G30" s="193"/>
      <c r="H30" s="193"/>
      <c r="I30" s="193"/>
      <c r="J30" s="193"/>
      <c r="K30" s="193"/>
      <c r="L30" s="193"/>
      <c r="M30" s="193"/>
      <c r="N30" s="193"/>
      <c r="O30" s="193"/>
    </row>
    <row r="31" spans="1:18" ht="20.399999999999999">
      <c r="A31" s="61" t="s">
        <v>456</v>
      </c>
      <c r="B31" s="194">
        <f>AVERAGE(B9:F9)</f>
        <v>1.7719999999999998</v>
      </c>
      <c r="C31" s="194">
        <f>MEDIAN(B9:F9)</f>
        <v>1.22</v>
      </c>
      <c r="D31" s="108">
        <v>2.16</v>
      </c>
      <c r="F31" s="193"/>
      <c r="G31" s="193"/>
      <c r="H31" s="193"/>
      <c r="I31" s="193"/>
      <c r="J31" s="193"/>
      <c r="K31" s="193"/>
      <c r="L31" s="193"/>
      <c r="M31" s="193"/>
      <c r="N31" s="193"/>
      <c r="O31" s="193"/>
    </row>
    <row r="32" spans="1:18">
      <c r="A32" s="61" t="s">
        <v>447</v>
      </c>
      <c r="B32" s="194">
        <f t="shared" ref="B32:B33" si="0">AVERAGE(B10:F10)</f>
        <v>13.713999999999999</v>
      </c>
      <c r="C32" s="194">
        <f>MEDIAN(B10:F10)</f>
        <v>12.58</v>
      </c>
      <c r="D32" s="108">
        <v>9.32</v>
      </c>
      <c r="F32" s="195"/>
      <c r="G32" s="195"/>
      <c r="H32" s="195"/>
      <c r="I32" s="195"/>
      <c r="J32" s="195"/>
      <c r="K32" s="195"/>
      <c r="L32" s="195"/>
      <c r="M32" s="195"/>
      <c r="N32" s="195"/>
      <c r="O32" s="195"/>
    </row>
    <row r="33" spans="1:18" ht="20.399999999999999">
      <c r="A33" s="61" t="s">
        <v>448</v>
      </c>
      <c r="B33" s="194">
        <f t="shared" si="0"/>
        <v>21.828000000000003</v>
      </c>
      <c r="C33" s="194">
        <f>MEDIAN(B11:F11)</f>
        <v>19.91</v>
      </c>
      <c r="D33" s="108">
        <v>17.7</v>
      </c>
      <c r="F33" s="193"/>
      <c r="G33" s="193"/>
      <c r="H33" s="193"/>
      <c r="I33" s="193"/>
      <c r="J33" s="193"/>
      <c r="K33" s="193"/>
      <c r="L33" s="193"/>
      <c r="M33" s="193"/>
      <c r="N33" s="193"/>
      <c r="O33" s="193"/>
    </row>
    <row r="34" spans="1:18" ht="20.399999999999999">
      <c r="A34" s="61"/>
      <c r="B34" s="82"/>
      <c r="C34" s="82"/>
      <c r="D34" s="82"/>
      <c r="E34" s="82"/>
      <c r="F34" s="82"/>
      <c r="G34" s="82"/>
      <c r="I34" s="193"/>
      <c r="J34" s="193"/>
      <c r="K34" s="193"/>
      <c r="L34" s="193"/>
      <c r="M34" s="193"/>
      <c r="N34" s="193"/>
      <c r="O34" s="193"/>
      <c r="P34" s="193"/>
      <c r="Q34" s="193"/>
      <c r="R34" s="193"/>
    </row>
    <row r="35" spans="1:18" ht="20.399999999999999">
      <c r="A35" s="61"/>
      <c r="B35" s="82"/>
      <c r="C35" s="82"/>
      <c r="D35" s="82"/>
      <c r="E35" s="82"/>
      <c r="F35" s="82"/>
      <c r="G35" s="82"/>
      <c r="I35" s="193"/>
      <c r="J35" s="193"/>
      <c r="K35" s="193"/>
      <c r="L35" s="193"/>
      <c r="M35" s="193"/>
      <c r="N35" s="193"/>
      <c r="O35" s="193"/>
      <c r="P35" s="193"/>
      <c r="Q35" s="193"/>
      <c r="R35" s="193"/>
    </row>
    <row r="36" spans="1:18">
      <c r="A36" s="62"/>
      <c r="B36" s="208"/>
      <c r="C36" s="35"/>
      <c r="D36" s="35"/>
      <c r="E36" s="35"/>
      <c r="F36" s="35"/>
      <c r="G36" s="35"/>
    </row>
    <row r="37" spans="1:18">
      <c r="B37" s="84"/>
    </row>
    <row r="39" spans="1:18">
      <c r="A39" s="63" t="s">
        <v>343</v>
      </c>
      <c r="B39" s="67"/>
      <c r="C39" s="68"/>
      <c r="D39" s="68"/>
      <c r="E39" s="68"/>
      <c r="F39" s="68"/>
      <c r="G39" s="68"/>
    </row>
    <row r="40" spans="1:18">
      <c r="A40" s="63"/>
      <c r="B40" s="67"/>
      <c r="C40" s="68"/>
      <c r="D40" s="68"/>
      <c r="E40" s="68"/>
      <c r="F40" s="68"/>
      <c r="G40" s="68"/>
    </row>
    <row r="41" spans="1:18">
      <c r="A41" s="60" t="s">
        <v>457</v>
      </c>
      <c r="B41" s="79" t="s">
        <v>456</v>
      </c>
      <c r="C41" s="79" t="s">
        <v>447</v>
      </c>
      <c r="D41" s="79" t="s">
        <v>463</v>
      </c>
      <c r="E41" s="79"/>
      <c r="F41" s="79"/>
      <c r="G41" s="79"/>
    </row>
    <row r="42" spans="1:18">
      <c r="A42" s="64" t="s">
        <v>321</v>
      </c>
      <c r="B42" s="85">
        <f>C31*B14</f>
        <v>634.07060000000001</v>
      </c>
      <c r="C42" s="84">
        <f>C32*B15</f>
        <v>666.36259999999993</v>
      </c>
      <c r="F42" s="86"/>
      <c r="G42" s="86"/>
      <c r="H42" s="86"/>
    </row>
    <row r="43" spans="1:18">
      <c r="A43" s="64" t="s">
        <v>344</v>
      </c>
      <c r="B43" s="87">
        <f>DCF_Pro_Forma!B42</f>
        <v>41.88</v>
      </c>
      <c r="C43" s="87">
        <v>42</v>
      </c>
      <c r="F43" s="86"/>
      <c r="G43" s="86"/>
      <c r="H43" s="86"/>
    </row>
    <row r="44" spans="1:18">
      <c r="A44" s="64" t="s">
        <v>345</v>
      </c>
      <c r="B44" s="87">
        <f>DCF_Pro_Forma!B43</f>
        <v>319.64999999999998</v>
      </c>
      <c r="C44" s="87">
        <v>320</v>
      </c>
      <c r="F44" s="86"/>
      <c r="G44" s="86"/>
      <c r="H44" s="86"/>
    </row>
    <row r="45" spans="1:18">
      <c r="A45" s="64" t="s">
        <v>394</v>
      </c>
      <c r="B45" s="84">
        <f>B42+B43-B44</f>
        <v>356.30060000000003</v>
      </c>
      <c r="C45" s="84">
        <f>C42+C43-C44</f>
        <v>388.36259999999993</v>
      </c>
    </row>
    <row r="46" spans="1:18">
      <c r="A46" s="65" t="s">
        <v>346</v>
      </c>
      <c r="B46" s="88">
        <f>B45/B6</f>
        <v>8.8193217821782195</v>
      </c>
      <c r="C46" s="88">
        <f>C45/B6</f>
        <v>9.6129356435643558</v>
      </c>
      <c r="D46" s="178">
        <f>C33*B16</f>
        <v>5.7738999999999994</v>
      </c>
    </row>
    <row r="47" spans="1:18">
      <c r="A47" s="66" t="s">
        <v>347</v>
      </c>
      <c r="B47" s="66" t="s">
        <v>428</v>
      </c>
      <c r="C47" s="66" t="s">
        <v>428</v>
      </c>
      <c r="D47" s="66" t="s">
        <v>428</v>
      </c>
    </row>
  </sheetData>
  <mergeCells count="4">
    <mergeCell ref="I2:R3"/>
    <mergeCell ref="I4:R5"/>
    <mergeCell ref="I6:R7"/>
    <mergeCell ref="I8:R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Balance Sheet</vt:lpstr>
      <vt:lpstr>Income Statement</vt:lpstr>
      <vt:lpstr>Cash Flow</vt:lpstr>
      <vt:lpstr>Financials</vt:lpstr>
      <vt:lpstr>Process_CSCF</vt:lpstr>
      <vt:lpstr>DCF_CSCF</vt:lpstr>
      <vt:lpstr>Process_Pro_Forma</vt:lpstr>
      <vt:lpstr>DCF_Pro_Forma</vt:lpstr>
      <vt:lpstr>CCA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Ayuba Jimoh</dc:creator>
  <cp:lastModifiedBy>Ayuba Jimoh</cp:lastModifiedBy>
  <dcterms:created xsi:type="dcterms:W3CDTF">2026-02-15T16:24:24Z</dcterms:created>
  <dcterms:modified xsi:type="dcterms:W3CDTF">2026-02-22T10:54:02Z</dcterms:modified>
</cp:coreProperties>
</file>